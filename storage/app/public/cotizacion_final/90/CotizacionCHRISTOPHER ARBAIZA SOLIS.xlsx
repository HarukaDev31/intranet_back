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<sst xmlns="http://schemas.openxmlformats.org/spreadsheetml/2006/main" uniqueCount="127">
  <si>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PRO MUNDO COMEX S.A.C.</t>
  </si>
  <si>
    <t xml:space="preserve">         RUC: 20612452432</t>
  </si>
  <si>
    <t>COTIZACION N002</t>
  </si>
  <si>
    <t>NOMBRE:</t>
  </si>
  <si>
    <t>CHRISTOPHER ARBAIZA SOLIS</t>
  </si>
  <si>
    <t>SERVICIO:</t>
  </si>
  <si>
    <t>CARGA CONSOLIDADA</t>
  </si>
  <si>
    <t>N° CAJAS:</t>
  </si>
  <si>
    <t>APELLIDO:</t>
  </si>
  <si>
    <t>FECHA:</t>
  </si>
  <si>
    <t>PESO:</t>
  </si>
  <si>
    <t>3.085 Tn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</si>
  <si>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</si>
  <si>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</si>
  <si>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</si>
  <si>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</si>
  <si>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</si>
  <si>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</si>
  <si>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</si>
  <si>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</si>
  <si>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</si>
  <si>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</si>
  <si>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</si>
  <si>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</si>
  <si>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</si>
  <si>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</si>
  <si>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</si>
  <si>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</si>
  <si>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</si>
  <si>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</si>
  <si>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</si>
  <si>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</si>
  <si>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</si>
  <si>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</si>
  <si>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</si>
  <si>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</si>
  <si>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</si>
  <si>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</si>
  <si>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</si>
  <si>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</si>
  <si>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</si>
  <si>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</si>
  <si>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</si>
  <si>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</si>
  <si>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</si>
  <si>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</si>
  <si>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</si>
  <si>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</si>
  <si>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PAPEL COREANO PARA ENVOLTURA DE FLORES</t>
  </si>
  <si>
    <t>CINTA DECORATIVA</t>
  </si>
  <si>
    <t>CINTA DECORATIVA SATINADA</t>
  </si>
  <si>
    <t>ENVOLTURA PARA RAMOS ONDULADO</t>
  </si>
  <si>
    <t>FLORES ARTIFICIALES DECORATIVAS</t>
  </si>
  <si>
    <t>BOLSA DECORATIVA PARA FLORES</t>
  </si>
  <si>
    <t>BOLSA DE REGALO CON CADENITA</t>
  </si>
  <si>
    <t>BOLSA CON LAZO PARA FLORES</t>
  </si>
  <si>
    <t>CAJA DECORATIVA PARA FLORES</t>
  </si>
  <si>
    <t>BOLSA DE DECORACION PARA FLORES</t>
  </si>
  <si>
    <t>BOLSA DE REGALO CON ASAS</t>
  </si>
  <si>
    <t>BOLSA DE CORAZON PARA FLORES</t>
  </si>
  <si>
    <t>BOLSA TRANSPARENTE PARA FLORES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</si>
  <si>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</si>
  <si>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</si>
  <si>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</si>
  <si>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</si>
  <si>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</si>
  <si>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</si>
  <si>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</si>
  <si>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</si>
  <si>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</si>
  <si>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</si>
  <si>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</si>
  <si>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</si>
  <si>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</si>
  <si>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</si>
  <si>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</si>
  <si>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</si>
  <si>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</si>
  <si>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</si>
  <si>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</si>
  <si>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</si>
  <si>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</si>
  <si>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</si>
  <si>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</si>
  <si>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</si>
  <si>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</si>
  <si>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</si>
  <si>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</si>
  <si>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</si>
  <si>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</si>
  <si>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</si>
  <si>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</si>
  <si>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</si>
  <si>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</si>
  <si>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</si>
  <si>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</si>
  <si>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t>NOTAS:</t>
  </si>
  <si>
    <t>PORTA ROSAS DE CARTON</t>
  </si>
  <si>
    <t>Hola CHRISTOPHER ARBAIZA SOLIS 😁 un gusto saludarte!
        A continuación te envío la cotización final de tu importación📋📦.
        🙋‍♂️ PAGO PENDIENTE :
        ☑️Costo CBM: $341.70444
        ☑️Impuestos: $3614.4
        ☑️ Total: $3956.10444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</si>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</sst>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tn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bottom" textRotation="0" wrapText="false" shrinkToFit="false"/>
    </xf>
    <xf xfId="0" fontId="19" numFmtId="173" fillId="2" borderId="1" applyFont="1" applyNumberFormat="1" applyFill="1" applyBorder="1" applyAlignment="1">
      <alignment horizontal="center" vertical="bottom" textRotation="0" wrapText="false" shrinkToFit="false"/>
    </xf>
    <xf xfId="0" fontId="19" numFmtId="174" fillId="2" borderId="1" applyFont="1" applyNumberFormat="1" applyFill="1" applyBorder="1" applyAlignment="1">
      <alignment horizontal="center" vertical="bottom" textRotation="0" wrapText="false" shrinkToFit="false"/>
    </xf>
    <xf xfId="0" fontId="20" numFmtId="172" fillId="3" borderId="1" applyFont="1" applyNumberFormat="1" applyFill="1" applyBorder="1" applyAlignment="1">
      <alignment horizontal="center" vertical="bottom" textRotation="0" wrapText="false" shrinkToFit="false"/>
    </xf>
    <xf xfId="0" fontId="21" numFmtId="166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22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57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93</xdr:row>
      <xdr:rowOff>104775</xdr:rowOff>
    </xdr:from>
    <xdr:to>
      <xdr:col>8</xdr:col>
      <xdr:colOff>504825</xdr:colOff>
      <xdr:row>111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9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  <c r="M2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  <c r="M3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  <c r="M4"/>
    </row>
    <row r="5" spans="1:14">
      <c r="B5" s="38"/>
      <c r="C5" s="38"/>
      <c r="D5" s="35"/>
      <c r="M5" s="1"/>
    </row>
    <row r="6" spans="1:14">
      <c r="B6" s="38"/>
      <c r="C6" s="38"/>
      <c r="D6" s="23"/>
      <c r="F6" s="23"/>
      <c r="G6" s="23"/>
      <c r="H6" s="23"/>
      <c r="M6" s="1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  <c r="M7" s="1"/>
    </row>
    <row r="8" spans="1:14">
      <c r="B8" s="6" t="s">
        <v>3</v>
      </c>
      <c r="C8" s="102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</v>
      </c>
      <c r="K8" s="61"/>
      <c r="L8" s="61"/>
      <c r="M8" s="1"/>
    </row>
    <row r="9" spans="1:14">
      <c r="B9" s="6" t="s">
        <v>8</v>
      </c>
      <c r="C9" s="14"/>
      <c r="D9" s="33"/>
      <c r="E9" s="21" t="s">
        <v>9</v>
      </c>
      <c r="F9" s="66">
        <f>+TODAY()</f>
        <v>45969</v>
      </c>
      <c r="G9" s="67"/>
      <c r="H9" s="32"/>
      <c r="I9" s="1" t="s">
        <v>10</v>
      </c>
      <c r="J9" s="101" t="s">
        <v>11</v>
      </c>
      <c r="K9" s="64"/>
      <c r="L9" s="64"/>
      <c r="M9" s="1"/>
    </row>
    <row r="10" spans="1:14">
      <c r="B10" s="6" t="s">
        <v>12</v>
      </c>
      <c r="C10" s="14"/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101"/>
      <c r="L10" s="62"/>
      <c r="M10" s="1"/>
    </row>
    <row r="11" spans="1:14">
      <c r="B11" s="6" t="s">
        <v>16</v>
      </c>
      <c r="C11" s="15">
        <v>51972263251</v>
      </c>
      <c r="D11" s="34"/>
      <c r="E11" s="22" t="s">
        <v>17</v>
      </c>
      <c r="F11" s="51" t="s">
        <v>18</v>
      </c>
      <c r="G11" s="63"/>
      <c r="H11" s="32"/>
      <c r="I11" s="1" t="s">
        <v>19</v>
      </c>
      <c r="J11" s="100">
        <f>'2'!Q7</f>
        <v>13.93</v>
      </c>
      <c r="K11" s="44"/>
      <c r="L11" s="44"/>
      <c r="M11" s="1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"/>
    </row>
    <row r="13" spans="1:14">
      <c r="B13" s="53" t="s">
        <v>20</v>
      </c>
      <c r="C13" s="53"/>
      <c r="D13" s="53"/>
      <c r="E13" s="53"/>
      <c r="F13" s="53"/>
      <c r="G13" s="53"/>
      <c r="H13" s="53"/>
      <c r="I13" s="53"/>
      <c r="J13" s="53"/>
      <c r="K13" s="8" t="s">
        <v>21</v>
      </c>
      <c r="L13" s="8" t="s">
        <v>22</v>
      </c>
      <c r="M13" s="1"/>
    </row>
    <row r="14" spans="1:14">
      <c r="B14" s="36" t="s">
        <v>23</v>
      </c>
      <c r="C14" s="36"/>
      <c r="D14" s="36"/>
      <c r="E14" s="36"/>
      <c r="F14" s="36"/>
      <c r="G14" s="36"/>
      <c r="H14" s="36"/>
      <c r="I14" s="36"/>
      <c r="J14" s="36"/>
      <c r="K14" s="12">
        <f>'2'!Q11</f>
        <v>13595.25</v>
      </c>
      <c r="L14" s="7" t="s">
        <v>24</v>
      </c>
      <c r="M14" s="1"/>
    </row>
    <row r="15" spans="1:14">
      <c r="B15" s="54" t="s">
        <v>25</v>
      </c>
      <c r="C15" s="54"/>
      <c r="D15" s="54"/>
      <c r="E15" s="54"/>
      <c r="F15" s="54"/>
      <c r="G15" s="54"/>
      <c r="H15" s="54"/>
      <c r="I15" s="54"/>
      <c r="J15" s="54"/>
      <c r="K15" s="13">
        <f>'2'!Q14 + '2'!Q17</f>
        <v>2504.01154</v>
      </c>
      <c r="L15" s="10" t="s">
        <v>24</v>
      </c>
      <c r="M15" s="1"/>
    </row>
    <row r="16" spans="1:14">
      <c r="B16" s="50" t="s">
        <v>26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16099.26154</v>
      </c>
      <c r="L16" s="7" t="s">
        <v>24</v>
      </c>
      <c r="M16" s="1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</row>
    <row r="19" spans="1:14">
      <c r="B19" s="46" t="s">
        <v>27</v>
      </c>
      <c r="C19" s="46"/>
      <c r="D19" s="46"/>
      <c r="E19" s="46"/>
      <c r="F19" s="46"/>
      <c r="G19" s="16"/>
      <c r="H19" s="16"/>
      <c r="I19" s="16"/>
      <c r="J19" s="8" t="s">
        <v>28</v>
      </c>
      <c r="K19" s="8" t="s">
        <v>21</v>
      </c>
      <c r="L19" s="8" t="s">
        <v>22</v>
      </c>
      <c r="M19" s="1"/>
    </row>
    <row r="20" spans="1:14">
      <c r="B20" s="39" t="s">
        <v>29</v>
      </c>
      <c r="C20" s="39"/>
      <c r="D20" s="39"/>
      <c r="E20" s="39"/>
      <c r="F20" s="39"/>
      <c r="G20" s="39"/>
      <c r="H20" s="39"/>
      <c r="I20" s="39"/>
      <c r="J20" s="18">
        <f>MAX('2'!C27:O27)</f>
        <v>0.06</v>
      </c>
      <c r="K20" s="12">
        <f>'2'!Q28</f>
        <v>42.275326822088</v>
      </c>
      <c r="L20" s="7" t="s">
        <v>24</v>
      </c>
      <c r="M20" s="1"/>
      <c r="N20" t="s">
        <v>98</v>
      </c>
    </row>
    <row r="21" spans="1:14">
      <c r="B21" s="39" t="s">
        <v>30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'2'!Q29</f>
        <v>2582.6458986915</v>
      </c>
      <c r="L21" s="7" t="s">
        <v>24</v>
      </c>
      <c r="M21" s="1"/>
    </row>
    <row r="22" spans="1:14">
      <c r="B22" s="51" t="s">
        <v>31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'2'!Q30</f>
        <v>322.83073733644</v>
      </c>
      <c r="L22" s="7" t="s">
        <v>24</v>
      </c>
      <c r="M22" s="1"/>
    </row>
    <row r="23" spans="1:14">
      <c r="B23" s="50" t="s">
        <v>32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2947.7519628501</v>
      </c>
      <c r="L23" s="27" t="s">
        <v>24</v>
      </c>
      <c r="M23" s="1"/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  <c r="M24" s="1"/>
    </row>
    <row r="25" spans="1:14">
      <c r="B25" s="51" t="s">
        <v>33</v>
      </c>
      <c r="C25" s="51"/>
      <c r="D25" s="51"/>
      <c r="E25" s="51"/>
      <c r="F25" s="51"/>
      <c r="G25" s="51"/>
      <c r="H25" s="51"/>
      <c r="I25" s="51"/>
      <c r="J25" s="19" t="s">
        <v>34</v>
      </c>
      <c r="K25" s="13">
        <f>'2'!Q31</f>
        <v>666.64547259975</v>
      </c>
      <c r="L25" s="10" t="s">
        <v>24</v>
      </c>
      <c r="M25" s="1"/>
    </row>
    <row r="26" spans="1:14">
      <c r="B26" s="50" t="s">
        <v>35</v>
      </c>
      <c r="C26" s="50"/>
      <c r="D26" s="50"/>
      <c r="E26" s="50"/>
      <c r="F26" s="50"/>
      <c r="G26" s="50"/>
      <c r="H26" s="50"/>
      <c r="I26" s="50"/>
      <c r="K26" s="12">
        <f>K23+K25</f>
        <v>3614.3974354498</v>
      </c>
      <c r="L26" s="7" t="s">
        <v>24</v>
      </c>
      <c r="M26" s="1"/>
    </row>
    <row r="27" spans="1:14">
      <c r="B27" s="49"/>
      <c r="C27" s="49"/>
      <c r="D27" s="49"/>
      <c r="E27" s="49"/>
      <c r="F27" s="49"/>
      <c r="G27" s="49"/>
      <c r="H27" s="49"/>
      <c r="I27" s="49"/>
      <c r="M27" s="1"/>
    </row>
    <row r="28" spans="1:14" customHeight="1" ht="15.75">
      <c r="B28" s="72" t="s">
        <v>36</v>
      </c>
      <c r="C28" s="72"/>
      <c r="D28" s="72"/>
      <c r="E28" s="72"/>
      <c r="F28" s="72"/>
      <c r="G28" s="72"/>
      <c r="H28" s="72"/>
      <c r="I28" s="72"/>
      <c r="J28" s="72"/>
      <c r="K28" s="26" t="s">
        <v>21</v>
      </c>
      <c r="L28" s="26" t="s">
        <v>22</v>
      </c>
      <c r="M28"/>
    </row>
    <row r="29" spans="1:14">
      <c r="B29" s="39" t="s">
        <v>37</v>
      </c>
      <c r="C29" s="39"/>
      <c r="D29" s="39"/>
      <c r="E29" s="39"/>
      <c r="F29" s="39"/>
      <c r="G29" s="39"/>
      <c r="H29" s="39"/>
      <c r="I29" s="39"/>
      <c r="J29" s="39"/>
      <c r="K29" s="12">
        <f>K14</f>
        <v>13595.25</v>
      </c>
      <c r="L29" s="7" t="s">
        <v>24</v>
      </c>
      <c r="M29" s="1"/>
    </row>
    <row r="30" spans="1:14">
      <c r="B30" s="39" t="s">
        <v>38</v>
      </c>
      <c r="C30" s="39"/>
      <c r="D30" s="39"/>
      <c r="E30" s="39"/>
      <c r="F30" s="39"/>
      <c r="G30" s="39"/>
      <c r="H30" s="39"/>
      <c r="I30" s="39"/>
      <c r="J30" s="39"/>
      <c r="K30" s="12">
        <f>IF(J11&lt;1, '2'!U7, '2'!U7*J11)</f>
        <v>4006.6859</v>
      </c>
      <c r="L30" s="7" t="s">
        <v>24</v>
      </c>
      <c r="M30" s="1"/>
    </row>
    <row r="31" spans="1:14">
      <c r="B31" s="51" t="s">
        <v>39</v>
      </c>
      <c r="C31" s="51"/>
      <c r="D31" s="51"/>
      <c r="E31" s="51"/>
      <c r="F31" s="51"/>
      <c r="G31" s="51"/>
      <c r="H31" s="51"/>
      <c r="I31" s="51"/>
      <c r="J31" s="51"/>
      <c r="K31" s="13">
        <f>K26</f>
        <v>3614.3974354498</v>
      </c>
      <c r="L31" s="10" t="s">
        <v>24</v>
      </c>
      <c r="M31" s="1"/>
    </row>
    <row r="32" spans="1:14">
      <c r="B32" s="50" t="s">
        <v>40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21216.33333545</v>
      </c>
      <c r="L32" s="7" t="s">
        <v>24</v>
      </c>
      <c r="M32" s="1"/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"/>
    </row>
    <row r="34" spans="1:14">
      <c r="B34" s="58" t="s">
        <v>41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"/>
    </row>
    <row r="35" spans="1:14">
      <c r="B35" s="17" t="s">
        <v>42</v>
      </c>
      <c r="C35" s="41" t="s">
        <v>43</v>
      </c>
      <c r="D35" s="42"/>
      <c r="E35" s="43"/>
      <c r="F35" s="4" t="s">
        <v>44</v>
      </c>
      <c r="G35" s="41" t="s">
        <v>45</v>
      </c>
      <c r="H35" s="43"/>
      <c r="I35" s="3" t="s">
        <v>46</v>
      </c>
      <c r="J35" s="24" t="s">
        <v>35</v>
      </c>
      <c r="K35" s="48" t="s">
        <v>47</v>
      </c>
      <c r="L35" s="48"/>
      <c r="M35" s="1"/>
    </row>
    <row r="36" spans="1:14">
      <c r="A36" s="1"/>
      <c r="B36" s="86">
        <v>1</v>
      </c>
      <c r="C36" s="86" t="s">
        <v>48</v>
      </c>
      <c r="D36" s="86"/>
      <c r="E36" s="86"/>
      <c r="F36" s="86">
        <f>'2'!C10</f>
        <v>2200</v>
      </c>
      <c r="G36" s="88">
        <f>'2'!C8</f>
        <v>0.65</v>
      </c>
      <c r="H36" s="89"/>
      <c r="I36" s="88">
        <f>'2'!C46</f>
        <v>1.0119017017871</v>
      </c>
      <c r="J36" s="88">
        <f>'2'!C44</f>
        <v>2226.1837439317</v>
      </c>
      <c r="K36" s="87">
        <f>'2'!C47</f>
        <v>3.7440362966123</v>
      </c>
      <c r="L36" s="48"/>
      <c r="M36" s="1"/>
    </row>
    <row r="37" spans="1:14" customHeight="1" ht="15.75">
      <c r="A37"/>
      <c r="B37" s="86">
        <v>2</v>
      </c>
      <c r="C37" s="86" t="s">
        <v>49</v>
      </c>
      <c r="D37" s="86"/>
      <c r="E37" s="86"/>
      <c r="F37" s="86">
        <f>'2'!D10</f>
        <v>2930</v>
      </c>
      <c r="G37" s="88">
        <f>'2'!D8</f>
        <v>0.85597269624573</v>
      </c>
      <c r="H37" s="86"/>
      <c r="I37" s="90">
        <f>'2'!D46</f>
        <v>1.3325541969452</v>
      </c>
      <c r="J37" s="88">
        <f>'2'!D44</f>
        <v>3904.3837970494</v>
      </c>
      <c r="K37" s="87">
        <f>'2'!D47</f>
        <v>4.9304505286971</v>
      </c>
      <c r="L37" s="91"/>
      <c r="M37"/>
    </row>
    <row r="38" spans="1:14" customHeight="1" ht="15.75">
      <c r="A38"/>
      <c r="B38" s="86">
        <v>3</v>
      </c>
      <c r="C38" s="86" t="s">
        <v>50</v>
      </c>
      <c r="D38" s="86"/>
      <c r="E38" s="86"/>
      <c r="F38" s="86">
        <f>'2'!E10</f>
        <v>555</v>
      </c>
      <c r="G38" s="88">
        <f>'2'!E8</f>
        <v>1.85</v>
      </c>
      <c r="H38" s="86"/>
      <c r="I38" s="90">
        <f>'2'!E46</f>
        <v>2.880027920471</v>
      </c>
      <c r="J38" s="88">
        <f>'2'!E44</f>
        <v>1598.4154958614</v>
      </c>
      <c r="K38" s="87">
        <f>'2'!E47</f>
        <v>10.656103305743</v>
      </c>
      <c r="L38" s="91"/>
      <c r="M38"/>
    </row>
    <row r="39" spans="1:14" customHeight="1" ht="15.75">
      <c r="A39"/>
      <c r="B39" s="92">
        <v>4</v>
      </c>
      <c r="C39" s="92" t="s">
        <v>51</v>
      </c>
      <c r="D39" s="92"/>
      <c r="E39" s="92"/>
      <c r="F39" s="92">
        <f>'2'!F10</f>
        <v>1700</v>
      </c>
      <c r="G39" s="93">
        <f>'2'!F8</f>
        <v>0.5</v>
      </c>
      <c r="H39" s="94"/>
      <c r="I39" s="93">
        <f>'2'!F46</f>
        <v>0.77838592445163</v>
      </c>
      <c r="J39" s="93">
        <f>'2'!F44</f>
        <v>1323.2560715678</v>
      </c>
      <c r="K39" s="95">
        <f>'2'!F47</f>
        <v>2.880027920471</v>
      </c>
      <c r="L39" s="96"/>
      <c r="M39"/>
    </row>
    <row r="40" spans="1:14" customHeight="1" ht="15.75">
      <c r="A40"/>
      <c r="B40" s="92">
        <v>5</v>
      </c>
      <c r="C40" s="92" t="s">
        <v>52</v>
      </c>
      <c r="D40" s="92"/>
      <c r="E40" s="92"/>
      <c r="F40" s="92">
        <f>'2'!G10</f>
        <v>4000</v>
      </c>
      <c r="G40" s="93">
        <f>'2'!G8</f>
        <v>0.54</v>
      </c>
      <c r="H40" s="94"/>
      <c r="I40" s="93">
        <f>'2'!G46</f>
        <v>0.84065679840776</v>
      </c>
      <c r="J40" s="93">
        <f>'2'!G44</f>
        <v>3362.627193631</v>
      </c>
      <c r="K40" s="95">
        <f>'2'!G47</f>
        <v>3.1104301541087</v>
      </c>
      <c r="L40" s="96"/>
      <c r="M40"/>
    </row>
    <row r="41" spans="1:14" customHeight="1" ht="15.75">
      <c r="A41"/>
      <c r="B41" s="92">
        <v>6</v>
      </c>
      <c r="C41" s="92" t="s">
        <v>53</v>
      </c>
      <c r="D41" s="92"/>
      <c r="E41" s="92"/>
      <c r="F41" s="92">
        <f>'2'!H10</f>
        <v>1400</v>
      </c>
      <c r="G41" s="93">
        <f>'2'!H8</f>
        <v>0.35</v>
      </c>
      <c r="H41" s="94"/>
      <c r="I41" s="93">
        <f>'2'!H46</f>
        <v>0.54487014711614</v>
      </c>
      <c r="J41" s="93">
        <f>'2'!H44</f>
        <v>762.8182059626</v>
      </c>
      <c r="K41" s="95">
        <f>'2'!H47</f>
        <v>2.0160195443297</v>
      </c>
      <c r="L41" s="96"/>
      <c r="M41"/>
    </row>
    <row r="42" spans="1:14" customHeight="1" ht="15.75">
      <c r="A42"/>
      <c r="B42" s="92">
        <v>7</v>
      </c>
      <c r="C42" s="92" t="s">
        <v>54</v>
      </c>
      <c r="D42" s="92"/>
      <c r="E42" s="92"/>
      <c r="F42" s="92">
        <f>'2'!I10</f>
        <v>2750</v>
      </c>
      <c r="G42" s="93">
        <f>'2'!I8</f>
        <v>0.28</v>
      </c>
      <c r="H42" s="94"/>
      <c r="I42" s="93">
        <f>'2'!I46</f>
        <v>0.43589611769291</v>
      </c>
      <c r="J42" s="93">
        <f>'2'!I44</f>
        <v>1198.7143236555</v>
      </c>
      <c r="K42" s="95">
        <f>'2'!I47</f>
        <v>1.6128156354638</v>
      </c>
      <c r="L42" s="96"/>
      <c r="M42"/>
    </row>
    <row r="43" spans="1:14" customHeight="1" ht="15.75">
      <c r="A43"/>
      <c r="B43" s="92">
        <v>8</v>
      </c>
      <c r="C43" s="92" t="s">
        <v>55</v>
      </c>
      <c r="D43" s="92"/>
      <c r="E43" s="92"/>
      <c r="F43" s="92">
        <f>'2'!J10</f>
        <v>1250</v>
      </c>
      <c r="G43" s="93">
        <f>'2'!J8</f>
        <v>0.29</v>
      </c>
      <c r="H43" s="94"/>
      <c r="I43" s="93">
        <f>'2'!J46</f>
        <v>0.45146383618194</v>
      </c>
      <c r="J43" s="93">
        <f>'2'!J44</f>
        <v>564.32979522743</v>
      </c>
      <c r="K43" s="95">
        <f>'2'!J47</f>
        <v>1.6704161938732</v>
      </c>
      <c r="L43" s="96"/>
      <c r="M43"/>
    </row>
    <row r="44" spans="1:14" customHeight="1" ht="15.75">
      <c r="A44"/>
      <c r="B44" s="92">
        <v>9</v>
      </c>
      <c r="C44" s="92" t="s">
        <v>56</v>
      </c>
      <c r="D44" s="92"/>
      <c r="E44" s="92"/>
      <c r="F44" s="92">
        <f>'2'!K10</f>
        <v>1100</v>
      </c>
      <c r="G44" s="93">
        <f>'2'!K8</f>
        <v>0.16</v>
      </c>
      <c r="H44" s="94"/>
      <c r="I44" s="93">
        <f>'2'!K46</f>
        <v>0.24908349582452</v>
      </c>
      <c r="J44" s="93">
        <f>'2'!K44</f>
        <v>273.99184540697</v>
      </c>
      <c r="K44" s="95">
        <f>'2'!K47</f>
        <v>0.92160893455073</v>
      </c>
      <c r="L44" s="96"/>
      <c r="M44"/>
    </row>
    <row r="45" spans="1:14" customHeight="1" ht="15.75">
      <c r="A45"/>
      <c r="B45" s="92">
        <v>10</v>
      </c>
      <c r="C45" s="92" t="s">
        <v>57</v>
      </c>
      <c r="D45" s="92"/>
      <c r="E45" s="92"/>
      <c r="F45" s="92">
        <f>'2'!L10</f>
        <v>2800</v>
      </c>
      <c r="G45" s="93">
        <f>'2'!L8</f>
        <v>0.29</v>
      </c>
      <c r="H45" s="94"/>
      <c r="I45" s="93">
        <f>'2'!L46</f>
        <v>0.45146383618194</v>
      </c>
      <c r="J45" s="93">
        <f>'2'!L44</f>
        <v>1264.0987413094</v>
      </c>
      <c r="K45" s="95">
        <f>'2'!L47</f>
        <v>1.6704161938732</v>
      </c>
      <c r="L45" s="96"/>
      <c r="M45"/>
    </row>
    <row r="46" spans="1:14" customHeight="1" ht="15.75">
      <c r="A46"/>
      <c r="B46" s="92">
        <v>11</v>
      </c>
      <c r="C46" s="92" t="s">
        <v>58</v>
      </c>
      <c r="D46" s="92"/>
      <c r="E46" s="92"/>
      <c r="F46" s="92">
        <f>'2'!M10</f>
        <v>6300</v>
      </c>
      <c r="G46" s="93">
        <f>'2'!M8</f>
        <v>0.24761904761905</v>
      </c>
      <c r="H46" s="94"/>
      <c r="I46" s="93">
        <f>'2'!M46</f>
        <v>0.38548636258557</v>
      </c>
      <c r="J46" s="93">
        <f>'2'!M44</f>
        <v>2428.5640842891</v>
      </c>
      <c r="K46" s="95">
        <f>'2'!M47</f>
        <v>1.4262995415666</v>
      </c>
      <c r="L46" s="96"/>
      <c r="M46"/>
    </row>
    <row r="47" spans="1:14" customHeight="1" ht="15.75">
      <c r="A47"/>
      <c r="B47" s="92">
        <v>12</v>
      </c>
      <c r="C47" s="92" t="s">
        <v>59</v>
      </c>
      <c r="D47" s="92"/>
      <c r="E47" s="92"/>
      <c r="F47" s="92">
        <f>'2'!N10</f>
        <v>1800</v>
      </c>
      <c r="G47" s="93">
        <f>'2'!N8</f>
        <v>0.32</v>
      </c>
      <c r="H47" s="94"/>
      <c r="I47" s="93">
        <f>'2'!N46</f>
        <v>0.49816699164904</v>
      </c>
      <c r="J47" s="93">
        <f>'2'!N44</f>
        <v>896.70058496828</v>
      </c>
      <c r="K47" s="95">
        <f>'2'!N47</f>
        <v>1.8432178691015</v>
      </c>
      <c r="L47" s="96"/>
      <c r="M47"/>
    </row>
    <row r="48" spans="1:14" customHeight="1" ht="15.75">
      <c r="A48"/>
      <c r="B48" s="92">
        <v>13</v>
      </c>
      <c r="C48" s="92" t="s">
        <v>60</v>
      </c>
      <c r="D48" s="92"/>
      <c r="E48" s="92"/>
      <c r="F48" s="92">
        <f>'2'!O10</f>
        <v>1200</v>
      </c>
      <c r="G48" s="93">
        <f>'2'!O8</f>
        <v>0.49583333333333</v>
      </c>
      <c r="H48" s="94"/>
      <c r="I48" s="93">
        <f>'2'!O46</f>
        <v>0.81492508895437</v>
      </c>
      <c r="J48" s="93">
        <f>'2'!O44</f>
        <v>977.91010674525</v>
      </c>
      <c r="K48" s="95">
        <f>'2'!O47</f>
        <v>3.0152228291312</v>
      </c>
      <c r="L48" s="96"/>
      <c r="M48"/>
    </row>
    <row r="49" spans="1:14" customHeight="1" ht="15.75">
      <c r="A49"/>
      <c r="B49" s="92">
        <v>14</v>
      </c>
      <c r="C49" s="92" t="s">
        <v>97</v>
      </c>
      <c r="D49" s="92"/>
      <c r="E49" s="92"/>
      <c r="F49" s="92">
        <f>'2'!P10</f>
        <v>1550</v>
      </c>
      <c r="G49" s="93">
        <f>'2'!P8</f>
        <v>0.18</v>
      </c>
      <c r="H49" s="94"/>
      <c r="I49" s="93">
        <f>'2'!P46</f>
        <v>0.28021893280259</v>
      </c>
      <c r="J49" s="93">
        <f>'2'!P44</f>
        <v>434.33934584401</v>
      </c>
      <c r="K49" s="95">
        <f>'2'!P47</f>
        <v>1.0368100513696</v>
      </c>
      <c r="L49" s="96"/>
      <c r="M49"/>
    </row>
    <row r="50" spans="1:14">
      <c r="A50" s="1"/>
      <c r="B50" s="97" t="s">
        <v>35</v>
      </c>
      <c r="C50" s="5"/>
      <c r="D50" s="5"/>
      <c r="E50" s="5"/>
      <c r="F50" s="97">
        <f>SUM(F36:F49)</f>
        <v>31535</v>
      </c>
      <c r="G50" s="5"/>
      <c r="H50" s="5"/>
      <c r="I50" s="5"/>
      <c r="J50" s="98">
        <f>SUM(J36:J49)</f>
        <v>21216.33333545</v>
      </c>
      <c r="K50" s="29"/>
      <c r="L50" s="30"/>
      <c r="M50" s="1"/>
    </row>
    <row r="51" spans="1:14" customHeight="1" ht="18.75">
      <c r="B51" s="99" t="s">
        <v>96</v>
      </c>
      <c r="C51" s="5"/>
      <c r="D51" s="5"/>
      <c r="E51" s="5"/>
      <c r="F51" s="5"/>
      <c r="G51" s="5"/>
      <c r="H51" s="5"/>
      <c r="I51" s="5"/>
      <c r="J51" s="5"/>
      <c r="K51" s="5"/>
      <c r="L51"/>
      <c r="M51"/>
    </row>
    <row r="52" spans="1:14" customHeight="1" ht="18.75">
      <c r="B52" s="40" t="s">
        <v>95</v>
      </c>
      <c r="C52" s="40"/>
      <c r="D52" s="40"/>
      <c r="E52" s="40"/>
      <c r="F52" s="40"/>
      <c r="G52" s="40"/>
      <c r="H52" s="40"/>
      <c r="I52" s="40"/>
      <c r="J52" s="40"/>
      <c r="K52" s="40"/>
      <c r="L52" s="40"/>
      <c r="M52"/>
    </row>
    <row r="53" spans="1:14" customHeight="1" ht="18.75">
      <c r="B53" s="40" t="s">
        <v>94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/>
    </row>
    <row r="54" spans="1:14" customHeight="1" ht="18.75">
      <c r="B54" s="40" t="s">
        <v>93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/>
    </row>
    <row r="55" spans="1:14" customHeight="1" ht="18.75">
      <c r="B55" s="40" t="s">
        <v>92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/>
    </row>
    <row r="56" spans="1:14" customHeight="1" ht="18.75">
      <c r="B56" s="40" t="s">
        <v>91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/>
    </row>
    <row r="57" spans="1:14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1"/>
    </row>
    <row r="58" spans="1:14" customHeight="1" ht="9">
      <c r="B58" s="38"/>
      <c r="C58" s="38"/>
      <c r="E58" s="38"/>
      <c r="F58" s="38"/>
      <c r="G58" s="38"/>
      <c r="H58" s="38"/>
      <c r="I58" s="38"/>
      <c r="J58" s="38"/>
      <c r="K58" s="38"/>
      <c r="L58" s="38"/>
      <c r="M58" s="38"/>
    </row>
    <row r="59" spans="1:14" customHeight="1" ht="31.9">
      <c r="B59" s="38"/>
      <c r="C59" s="38"/>
      <c r="D59" s="52" t="s">
        <v>0</v>
      </c>
      <c r="E59" s="52"/>
      <c r="F59" s="52"/>
      <c r="G59" s="52"/>
      <c r="H59" s="52"/>
      <c r="I59" s="52"/>
      <c r="J59" s="52"/>
      <c r="K59" s="52"/>
      <c r="L59" s="52"/>
      <c r="M59" s="52"/>
    </row>
    <row r="60" spans="1:14" customHeight="1" ht="21">
      <c r="B60" s="38"/>
      <c r="C60" s="38"/>
      <c r="D60" s="55" t="s">
        <v>90</v>
      </c>
      <c r="E60" s="55"/>
      <c r="F60" s="55"/>
      <c r="G60" s="55"/>
      <c r="H60" s="55"/>
      <c r="I60" s="55"/>
      <c r="M60"/>
    </row>
    <row r="61" spans="1:14">
      <c r="B61" s="38"/>
      <c r="C61" s="38"/>
      <c r="M61" s="1"/>
    </row>
    <row r="62" spans="1:14">
      <c r="B62" s="38"/>
      <c r="C62" s="38"/>
      <c r="M62" s="1"/>
    </row>
    <row r="63" spans="1:14" customHeight="1" ht="21">
      <c r="B63" s="47" t="s">
        <v>89</v>
      </c>
      <c r="C63" s="47"/>
      <c r="D63" s="47"/>
      <c r="E63" s="47"/>
      <c r="F63" s="47"/>
      <c r="G63" s="47"/>
      <c r="H63" s="47"/>
      <c r="I63" s="47"/>
      <c r="J63" s="47"/>
      <c r="K63" s="47"/>
      <c r="L63" s="47"/>
      <c r="M63"/>
    </row>
    <row r="64" spans="1:14">
      <c r="M64" s="1"/>
    </row>
    <row r="65" spans="1:14">
      <c r="B65" s="37" t="s">
        <v>88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1"/>
    </row>
    <row r="66" spans="1:14">
      <c r="B66" s="37" t="s">
        <v>87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"/>
    </row>
    <row r="67" spans="1:14">
      <c r="B67" s="39" t="s">
        <v>86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1"/>
    </row>
    <row r="68" spans="1:14">
      <c r="B68" s="37" t="s">
        <v>85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1"/>
    </row>
    <row r="69" spans="1:14">
      <c r="B69" s="37" t="s">
        <v>84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"/>
    </row>
    <row r="70" spans="1:14">
      <c r="B70" s="39" t="s">
        <v>83</v>
      </c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1"/>
    </row>
    <row r="71" spans="1:14">
      <c r="B71" s="37" t="s">
        <v>82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1"/>
    </row>
    <row r="72" spans="1:14">
      <c r="B72" s="37" t="s">
        <v>81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1"/>
    </row>
    <row r="73" spans="1:14">
      <c r="B73" s="37" t="s">
        <v>80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1"/>
    </row>
    <row r="74" spans="1:14">
      <c r="B74" s="37" t="s">
        <v>79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1"/>
    </row>
    <row r="75" spans="1:14">
      <c r="B75" s="37" t="s">
        <v>78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1"/>
    </row>
    <row r="76" spans="1:14">
      <c r="B76" s="37" t="s">
        <v>77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1"/>
    </row>
    <row r="77" spans="1:14">
      <c r="B77" s="37" t="s">
        <v>76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1"/>
    </row>
    <row r="78" spans="1:14">
      <c r="B78" s="37" t="s">
        <v>75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"/>
    </row>
    <row r="79" spans="1:14">
      <c r="B79" s="37" t="s">
        <v>74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"/>
    </row>
    <row r="80" spans="1:14">
      <c r="B80" s="37" t="s">
        <v>73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1"/>
    </row>
    <row r="81" spans="1:14">
      <c r="B81" s="37" t="s">
        <v>72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1"/>
    </row>
    <row r="82" spans="1:14">
      <c r="B82" s="36" t="s">
        <v>71</v>
      </c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1"/>
    </row>
    <row r="83" spans="1:14">
      <c r="B83" s="37" t="s">
        <v>70</v>
      </c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1"/>
    </row>
    <row r="84" spans="1:14">
      <c r="B84" s="36" t="s">
        <v>69</v>
      </c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1"/>
    </row>
    <row r="85" spans="1:14">
      <c r="B85" s="37" t="s">
        <v>68</v>
      </c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1"/>
    </row>
    <row r="86" spans="1:14">
      <c r="B86" s="37" t="s">
        <v>67</v>
      </c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1"/>
    </row>
    <row r="87" spans="1:14">
      <c r="B87" s="37" t="s">
        <v>66</v>
      </c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1"/>
    </row>
    <row r="88" spans="1:14">
      <c r="B88" s="37" t="s">
        <v>65</v>
      </c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1"/>
    </row>
    <row r="89" spans="1:14">
      <c r="B89" s="37" t="s">
        <v>64</v>
      </c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1"/>
    </row>
    <row r="90" spans="1:14">
      <c r="A90" s="31"/>
      <c r="B90" s="45" t="s">
        <v>63</v>
      </c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1"/>
    </row>
    <row r="91" spans="1:14">
      <c r="A91" s="31"/>
      <c r="B91" s="37" t="s">
        <v>62</v>
      </c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1"/>
    </row>
    <row r="92" spans="1:14">
      <c r="A92" s="31"/>
      <c r="B92" s="45" t="s">
        <v>61</v>
      </c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1"/>
    </row>
    <row r="93" spans="1:14">
      <c r="M93" s="1"/>
    </row>
    <row r="94" spans="1:14">
      <c r="C94" s="38"/>
      <c r="D94" s="38"/>
      <c r="E94" s="38"/>
      <c r="F94" s="38"/>
      <c r="G94" s="38"/>
      <c r="H94" s="38"/>
      <c r="I94" s="38"/>
      <c r="M94" s="1"/>
    </row>
    <row r="95" spans="1:14">
      <c r="C95" s="38"/>
      <c r="D95" s="38"/>
      <c r="E95" s="38"/>
      <c r="F95" s="38"/>
      <c r="G95" s="38"/>
      <c r="H95" s="38"/>
      <c r="I95" s="38"/>
      <c r="M95" s="1"/>
    </row>
    <row r="96" spans="1:14">
      <c r="C96" s="38"/>
      <c r="D96" s="38"/>
      <c r="E96" s="38"/>
      <c r="F96" s="38"/>
      <c r="G96" s="38"/>
      <c r="H96" s="38"/>
      <c r="I96" s="38"/>
      <c r="M96" s="1"/>
    </row>
    <row r="97" spans="1:14">
      <c r="C97" s="38"/>
      <c r="D97" s="38"/>
      <c r="E97" s="38"/>
      <c r="F97" s="38"/>
      <c r="G97" s="38"/>
      <c r="H97" s="38"/>
      <c r="I97" s="38"/>
      <c r="M97" s="1"/>
    </row>
    <row r="98" spans="1:14">
      <c r="C98" s="38"/>
      <c r="D98" s="38"/>
      <c r="E98" s="38"/>
      <c r="F98" s="38"/>
      <c r="G98" s="38"/>
      <c r="H98" s="38"/>
      <c r="I98" s="38"/>
      <c r="M98" s="1"/>
    </row>
    <row r="99" spans="1:14">
      <c r="C99" s="38"/>
      <c r="D99" s="38"/>
      <c r="E99" s="38"/>
      <c r="F99" s="38"/>
      <c r="G99" s="38"/>
      <c r="H99" s="38"/>
      <c r="I99" s="38"/>
      <c r="M99" s="1"/>
    </row>
    <row r="100" spans="1:14">
      <c r="C100" s="38"/>
      <c r="D100" s="38"/>
      <c r="E100" s="38"/>
      <c r="F100" s="38"/>
      <c r="G100" s="38"/>
      <c r="H100" s="38"/>
      <c r="I100" s="38"/>
      <c r="M100" s="1"/>
    </row>
    <row r="101" spans="1:14" customHeight="1" ht="15.6">
      <c r="C101" s="38"/>
      <c r="D101" s="38"/>
      <c r="E101" s="38"/>
      <c r="F101" s="38"/>
      <c r="G101" s="38"/>
      <c r="H101" s="38"/>
      <c r="I101" s="38"/>
      <c r="M101"/>
    </row>
    <row r="102" spans="1:14" customHeight="1" ht="15.6">
      <c r="C102" s="38"/>
      <c r="D102" s="38"/>
      <c r="E102" s="38"/>
      <c r="F102" s="38"/>
      <c r="G102" s="38"/>
      <c r="H102" s="38"/>
      <c r="I102" s="38"/>
      <c r="M102"/>
    </row>
    <row r="103" spans="1:14">
      <c r="C103" s="38"/>
      <c r="D103" s="38"/>
      <c r="E103" s="38"/>
      <c r="F103" s="38"/>
      <c r="G103" s="38"/>
      <c r="H103" s="38"/>
      <c r="I103" s="38"/>
      <c r="M103" s="1"/>
    </row>
    <row r="104" spans="1:14">
      <c r="M104" s="1"/>
    </row>
    <row r="105" spans="1:14">
      <c r="M105" s="1"/>
    </row>
    <row r="106" spans="1:14">
      <c r="M106" s="1"/>
    </row>
    <row r="107" spans="1:14">
      <c r="M107" s="1"/>
    </row>
    <row r="108" spans="1:14">
      <c r="M108" s="1"/>
    </row>
    <row r="109" spans="1:14" customHeight="1" ht="15.6">
      <c r="M109"/>
    </row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94:I103"/>
    <mergeCell ref="A1:L1"/>
    <mergeCell ref="E2:L2"/>
    <mergeCell ref="D60:I60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55:L55"/>
    <mergeCell ref="B53:L53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63:L63"/>
    <mergeCell ref="B54:L54"/>
    <mergeCell ref="D59:J59"/>
    <mergeCell ref="K59:M59"/>
    <mergeCell ref="E58:M58"/>
    <mergeCell ref="K35:L35"/>
    <mergeCell ref="B89:L89"/>
    <mergeCell ref="B84:L84"/>
    <mergeCell ref="B85:L85"/>
    <mergeCell ref="B86:L86"/>
    <mergeCell ref="B87:L87"/>
    <mergeCell ref="B88:L88"/>
    <mergeCell ref="B92:L92"/>
    <mergeCell ref="B75:L75"/>
    <mergeCell ref="B76:L76"/>
    <mergeCell ref="B77:L77"/>
    <mergeCell ref="B68:L68"/>
    <mergeCell ref="B69:L69"/>
    <mergeCell ref="B70:L70"/>
    <mergeCell ref="B71:L71"/>
    <mergeCell ref="B72:L72"/>
    <mergeCell ref="B73:L73"/>
    <mergeCell ref="B74:L74"/>
    <mergeCell ref="B79:L79"/>
    <mergeCell ref="B80:L80"/>
    <mergeCell ref="B81:L81"/>
    <mergeCell ref="B91:L91"/>
    <mergeCell ref="B90:L90"/>
    <mergeCell ref="B82:L82"/>
    <mergeCell ref="B83:L83"/>
    <mergeCell ref="A7:C7"/>
    <mergeCell ref="I7:L7"/>
    <mergeCell ref="B67:L67"/>
    <mergeCell ref="B56:L56"/>
    <mergeCell ref="B52:L52"/>
    <mergeCell ref="B65:L65"/>
    <mergeCell ref="B78:L78"/>
    <mergeCell ref="B66:L66"/>
    <mergeCell ref="J11:L11"/>
    <mergeCell ref="B58:C62"/>
    <mergeCell ref="B19:F19"/>
    <mergeCell ref="C37:E37"/>
    <mergeCell ref="G37:H37"/>
    <mergeCell ref="K37:L37"/>
    <mergeCell ref="C38:E38"/>
    <mergeCell ref="G38:H38"/>
    <mergeCell ref="K38:L38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43:E43"/>
    <mergeCell ref="G43:H43"/>
    <mergeCell ref="K43:L43"/>
    <mergeCell ref="C44:E44"/>
    <mergeCell ref="G44:H44"/>
    <mergeCell ref="K44:L44"/>
    <mergeCell ref="C45:E45"/>
    <mergeCell ref="G45:H45"/>
    <mergeCell ref="K45:L45"/>
    <mergeCell ref="C46:E46"/>
    <mergeCell ref="G46:H46"/>
    <mergeCell ref="K46:L46"/>
    <mergeCell ref="C47:E47"/>
    <mergeCell ref="G47:H47"/>
    <mergeCell ref="K47:L47"/>
    <mergeCell ref="C48:E48"/>
    <mergeCell ref="G48:H48"/>
    <mergeCell ref="K48:L48"/>
    <mergeCell ref="C49:E49"/>
    <mergeCell ref="G49:H49"/>
    <mergeCell ref="K49:L49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57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7"/>
  <sheetViews>
    <sheetView tabSelected="0" workbookViewId="0" showGridLines="true" showRowColHeaders="1">
      <selection activeCell="Q44" sqref="Q44"/>
    </sheetView>
  </sheetViews>
  <sheetFormatPr defaultRowHeight="14.4" outlineLevelRow="0" outlineLevelCol="0"/>
  <cols>
    <col min="2" max="2" width="24.708" bestFit="true" customWidth="true" style="0"/>
    <col min="3" max="3" width="45.846" bestFit="true" customWidth="true" style="0"/>
    <col min="4" max="4" width="19.995" bestFit="true" customWidth="true" style="0"/>
    <col min="5" max="5" width="30.564" bestFit="true" customWidth="true" style="0"/>
    <col min="6" max="6" width="35.277" bestFit="true" customWidth="true" style="0"/>
    <col min="7" max="7" width="37.705" bestFit="true" customWidth="true" style="0"/>
    <col min="8" max="8" width="34.135" bestFit="true" customWidth="true" style="0"/>
    <col min="9" max="9" width="34.135" bestFit="true" customWidth="true" style="0"/>
    <col min="10" max="10" width="31.707" bestFit="true" customWidth="true" style="0"/>
    <col min="11" max="11" width="32.992" bestFit="true" customWidth="true" style="0"/>
    <col min="12" max="12" width="37.705" bestFit="true" customWidth="true" style="0"/>
    <col min="13" max="13" width="29.421" bestFit="true" customWidth="true" style="0"/>
    <col min="14" max="14" width="34.135" bestFit="true" customWidth="true" style="0"/>
    <col min="15" max="15" width="36.42" bestFit="true" customWidth="true" style="0"/>
    <col min="16" max="16" width="25.851" bestFit="true" customWidth="true" style="0"/>
    <col min="17" max="17" width="10.569" bestFit="true" customWidth="true" style="0"/>
  </cols>
  <sheetData>
    <row r="3" spans="1:21">
      <c r="B3" s="73" t="s">
        <v>99</v>
      </c>
      <c r="C3"/>
      <c r="D3"/>
      <c r="E3"/>
      <c r="F3"/>
      <c r="G3"/>
    </row>
    <row r="5" spans="1:21">
      <c r="B5" s="75" t="s">
        <v>100</v>
      </c>
      <c r="C5" s="74" t="s">
        <v>48</v>
      </c>
      <c r="D5" s="74" t="s">
        <v>49</v>
      </c>
      <c r="E5" s="74" t="s">
        <v>50</v>
      </c>
      <c r="F5" s="74" t="s">
        <v>51</v>
      </c>
      <c r="G5" s="74" t="s">
        <v>52</v>
      </c>
      <c r="H5" s="74" t="s">
        <v>53</v>
      </c>
      <c r="I5" s="74" t="s">
        <v>54</v>
      </c>
      <c r="J5" s="74" t="s">
        <v>55</v>
      </c>
      <c r="K5" s="74" t="s">
        <v>56</v>
      </c>
      <c r="L5" s="74" t="s">
        <v>57</v>
      </c>
      <c r="M5" s="74" t="s">
        <v>58</v>
      </c>
      <c r="N5" s="74" t="s">
        <v>59</v>
      </c>
      <c r="O5" s="74" t="s">
        <v>60</v>
      </c>
      <c r="P5" s="74" t="s">
        <v>97</v>
      </c>
      <c r="Q5" s="74" t="s">
        <v>117</v>
      </c>
    </row>
    <row r="6" spans="1:21">
      <c r="B6" t="s">
        <v>101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80">
        <v>3.09</v>
      </c>
      <c r="T6" s="78" t="s">
        <v>115</v>
      </c>
      <c r="U6" s="78" t="s">
        <v>116</v>
      </c>
    </row>
    <row r="7" spans="1:21">
      <c r="B7" t="s">
        <v>102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81">
        <v>13.93</v>
      </c>
      <c r="T7" s="79" t="s">
        <v>18</v>
      </c>
      <c r="U7" s="79">
        <v>287.63</v>
      </c>
    </row>
    <row r="8" spans="1:21">
      <c r="B8" t="s">
        <v>103</v>
      </c>
      <c r="C8" s="77">
        <v>0.65</v>
      </c>
      <c r="D8" s="77">
        <v>0.85597269624573</v>
      </c>
      <c r="E8" s="77">
        <v>1.85</v>
      </c>
      <c r="F8" s="77">
        <v>0.5</v>
      </c>
      <c r="G8" s="77">
        <v>0.54</v>
      </c>
      <c r="H8" s="77">
        <v>0.35</v>
      </c>
      <c r="I8" s="77">
        <v>0.28</v>
      </c>
      <c r="J8" s="77">
        <v>0.29</v>
      </c>
      <c r="K8" s="77">
        <v>0.16</v>
      </c>
      <c r="L8" s="77">
        <v>0.29</v>
      </c>
      <c r="M8" s="77">
        <v>0.24761904761905</v>
      </c>
      <c r="N8" s="77">
        <v>0.32</v>
      </c>
      <c r="O8" s="77">
        <v>0.49583333333333</v>
      </c>
      <c r="P8" s="77">
        <v>0.18</v>
      </c>
      <c r="Q8"/>
    </row>
    <row r="9" spans="1:21">
      <c r="B9" s="76" t="s">
        <v>104</v>
      </c>
      <c r="C9" s="77">
        <v>0.0</v>
      </c>
      <c r="D9" s="77">
        <v>0.0</v>
      </c>
      <c r="E9" s="77">
        <v>0.0</v>
      </c>
      <c r="F9" s="77">
        <v>0.0</v>
      </c>
      <c r="G9" s="77">
        <v>0.0</v>
      </c>
      <c r="H9" s="77">
        <v>0.0</v>
      </c>
      <c r="I9" s="77">
        <v>0.0</v>
      </c>
      <c r="J9" s="77">
        <v>0.0</v>
      </c>
      <c r="K9" s="77">
        <v>0.0</v>
      </c>
      <c r="L9" s="77">
        <v>0.0</v>
      </c>
      <c r="M9" s="77">
        <v>0.0</v>
      </c>
      <c r="N9" s="77">
        <v>0.0</v>
      </c>
      <c r="O9" s="77">
        <v>0.0</v>
      </c>
      <c r="P9" s="77">
        <v>0.0</v>
      </c>
      <c r="Q9"/>
    </row>
    <row r="10" spans="1:21">
      <c r="B10" t="s">
        <v>105</v>
      </c>
      <c r="C10">
        <v>2200.0</v>
      </c>
      <c r="D10">
        <v>2930.0</v>
      </c>
      <c r="E10">
        <v>555.0</v>
      </c>
      <c r="F10">
        <v>1700.0</v>
      </c>
      <c r="G10">
        <v>4000.0</v>
      </c>
      <c r="H10">
        <v>1400.0</v>
      </c>
      <c r="I10">
        <v>2750.0</v>
      </c>
      <c r="J10">
        <v>1250.0</v>
      </c>
      <c r="K10">
        <v>1100.0</v>
      </c>
      <c r="L10">
        <v>2800.0</v>
      </c>
      <c r="M10">
        <v>6300.0</v>
      </c>
      <c r="N10">
        <v>1800.0</v>
      </c>
      <c r="O10">
        <v>1200.0</v>
      </c>
      <c r="P10">
        <v>1550.0</v>
      </c>
      <c r="Q10">
        <f>SUM(C10:P10)</f>
        <v>31535</v>
      </c>
    </row>
    <row r="11" spans="1:21">
      <c r="B11" t="s">
        <v>106</v>
      </c>
      <c r="C11" s="77">
        <f>C8*C10</f>
        <v>1430</v>
      </c>
      <c r="D11" s="77">
        <f>D8*D10</f>
        <v>2508</v>
      </c>
      <c r="E11" s="77">
        <f>E8*E10</f>
        <v>1026.75</v>
      </c>
      <c r="F11" s="77">
        <f>F8*F10</f>
        <v>850</v>
      </c>
      <c r="G11" s="77">
        <f>G8*G10</f>
        <v>2160</v>
      </c>
      <c r="H11" s="77">
        <f>H8*H10</f>
        <v>490</v>
      </c>
      <c r="I11" s="77">
        <f>I8*I10</f>
        <v>770</v>
      </c>
      <c r="J11" s="77">
        <f>J8*J10</f>
        <v>362.5</v>
      </c>
      <c r="K11" s="77">
        <f>K8*K10</f>
        <v>176</v>
      </c>
      <c r="L11" s="77">
        <f>L8*L10</f>
        <v>812</v>
      </c>
      <c r="M11" s="77">
        <f>M8*M10</f>
        <v>1560</v>
      </c>
      <c r="N11" s="77">
        <f>N8*N10</f>
        <v>576</v>
      </c>
      <c r="O11" s="77">
        <f>O8*O10</f>
        <v>595</v>
      </c>
      <c r="P11" s="77">
        <f>P8*P10</f>
        <v>279</v>
      </c>
      <c r="Q11" s="85">
        <f>SUM(C11:P11)</f>
        <v>13595.25</v>
      </c>
    </row>
    <row r="12" spans="1:21">
      <c r="B12" s="76" t="s">
        <v>107</v>
      </c>
      <c r="C12" s="77">
        <f>C10*C9</f>
        <v>0</v>
      </c>
      <c r="D12" s="77">
        <f>D10*D9</f>
        <v>0</v>
      </c>
      <c r="E12" s="77">
        <f>E10*E9</f>
        <v>0</v>
      </c>
      <c r="F12" s="77">
        <f>F10*F9</f>
        <v>0</v>
      </c>
      <c r="G12" s="77">
        <f>G10*G9</f>
        <v>0</v>
      </c>
      <c r="H12" s="77">
        <f>H10*H9</f>
        <v>0</v>
      </c>
      <c r="I12" s="77">
        <f>I10*I9</f>
        <v>0</v>
      </c>
      <c r="J12" s="77">
        <f>J10*J9</f>
        <v>0</v>
      </c>
      <c r="K12" s="77">
        <f>K10*K9</f>
        <v>0</v>
      </c>
      <c r="L12" s="77">
        <f>L10*L9</f>
        <v>0</v>
      </c>
      <c r="M12" s="77">
        <f>M10*M9</f>
        <v>0</v>
      </c>
      <c r="N12" s="77">
        <f>N10*N9</f>
        <v>0</v>
      </c>
      <c r="O12" s="77">
        <f>O10*O9</f>
        <v>0</v>
      </c>
      <c r="P12" s="77">
        <f>P10*P9</f>
        <v>0</v>
      </c>
      <c r="Q12" s="85">
        <f>SUM(C12:P12)</f>
        <v>0</v>
      </c>
    </row>
    <row r="13" spans="1:21">
      <c r="B13" t="s">
        <v>108</v>
      </c>
      <c r="C13" s="82">
        <f>C11/Q11</f>
        <v>0.10518379581104</v>
      </c>
      <c r="D13" s="82">
        <f>D11/Q11</f>
        <v>0.18447619573013</v>
      </c>
      <c r="E13" s="82">
        <f>E11/Q11</f>
        <v>0.075522700943344</v>
      </c>
      <c r="F13" s="82">
        <f>F11/Q11</f>
        <v>0.062521836670896</v>
      </c>
      <c r="G13" s="82">
        <f>G11/Q11</f>
        <v>0.15887902024604</v>
      </c>
      <c r="H13" s="82">
        <f>H11/Q11</f>
        <v>0.036041999963222</v>
      </c>
      <c r="I13" s="82">
        <f>I11/Q11</f>
        <v>0.056637428513635</v>
      </c>
      <c r="J13" s="82">
        <f>J11/Q11</f>
        <v>0.026663724462588</v>
      </c>
      <c r="K13" s="82">
        <f>K11/Q11</f>
        <v>0.012945697945974</v>
      </c>
      <c r="L13" s="82">
        <f>L11/Q11</f>
        <v>0.059726742796197</v>
      </c>
      <c r="M13" s="82">
        <f>M11/Q11</f>
        <v>0.11474595906659</v>
      </c>
      <c r="N13" s="82">
        <f>N11/Q11</f>
        <v>0.042367738732278</v>
      </c>
      <c r="O13" s="82">
        <f>O11/Q11</f>
        <v>0.043765285669627</v>
      </c>
      <c r="P13" s="82">
        <f>P11/Q11</f>
        <v>0.020521873448447</v>
      </c>
      <c r="Q13"/>
    </row>
    <row r="14" spans="1:21">
      <c r="B14" t="s">
        <v>109</v>
      </c>
      <c r="C14" s="77">
        <f>Q14*C13</f>
        <v>252.86305895074</v>
      </c>
      <c r="D14" s="77">
        <f>Q14*D13</f>
        <v>443.48290339052</v>
      </c>
      <c r="E14" s="77">
        <f>Q14*E13</f>
        <v>181.55744459977</v>
      </c>
      <c r="F14" s="77">
        <f>Q14*F13</f>
        <v>150.30321685883</v>
      </c>
      <c r="G14" s="77">
        <f>Q14*G13</f>
        <v>381.94699813538</v>
      </c>
      <c r="H14" s="77">
        <f>Q14*H13</f>
        <v>86.645383836266</v>
      </c>
      <c r="I14" s="77">
        <f>Q14*I13</f>
        <v>136.1570317427</v>
      </c>
      <c r="J14" s="77">
        <f>Q14*J13</f>
        <v>64.099901307442</v>
      </c>
      <c r="K14" s="77">
        <f>Q14*K13</f>
        <v>31.121607255475</v>
      </c>
      <c r="L14" s="77">
        <f>Q14*L13</f>
        <v>143.58377892867</v>
      </c>
      <c r="M14" s="77">
        <f>Q14*M13</f>
        <v>275.85060976444</v>
      </c>
      <c r="N14" s="77">
        <f>Q14*N13</f>
        <v>101.8525328361</v>
      </c>
      <c r="O14" s="77">
        <f>Q14*O13</f>
        <v>105.21225180118</v>
      </c>
      <c r="P14" s="77">
        <f>Q14*P13</f>
        <v>49.334820592486</v>
      </c>
      <c r="Q14" s="85">
        <f>IF(Q7&lt;1, U7*0.6, U7*0.6*Q7)</f>
        <v>2404.01154</v>
      </c>
    </row>
    <row r="15" spans="1:21">
      <c r="B15" t="s">
        <v>110</v>
      </c>
      <c r="C15" s="77">
        <f>C11+C14</f>
        <v>1682.8630589507</v>
      </c>
      <c r="D15" s="77">
        <f>D11+D14</f>
        <v>2951.4829033905</v>
      </c>
      <c r="E15" s="77">
        <f>E11+E14</f>
        <v>1208.3074445998</v>
      </c>
      <c r="F15" s="77">
        <f>F11+F14</f>
        <v>1000.3032168588</v>
      </c>
      <c r="G15" s="77">
        <f>G11+G14</f>
        <v>2541.9469981354</v>
      </c>
      <c r="H15" s="77">
        <f>H11+H14</f>
        <v>576.64538383627</v>
      </c>
      <c r="I15" s="77">
        <f>I11+I14</f>
        <v>906.1570317427</v>
      </c>
      <c r="J15" s="77">
        <f>J11+J14</f>
        <v>426.59990130744</v>
      </c>
      <c r="K15" s="77">
        <f>K11+K14</f>
        <v>207.12160725548</v>
      </c>
      <c r="L15" s="77">
        <f>L11+L14</f>
        <v>955.58377892867</v>
      </c>
      <c r="M15" s="77">
        <f>M11+M14</f>
        <v>1835.8506097645</v>
      </c>
      <c r="N15" s="77">
        <f>N11+N14</f>
        <v>677.8525328361</v>
      </c>
      <c r="O15" s="77">
        <f>O11+O14</f>
        <v>700.21225180118</v>
      </c>
      <c r="P15" s="77">
        <f>P11+P14</f>
        <v>328.33482059249</v>
      </c>
      <c r="Q15" s="85">
        <f>SUM(C15:P15)</f>
        <v>15999.26154</v>
      </c>
    </row>
    <row r="16" spans="1:21">
      <c r="B16" s="76" t="s">
        <v>111</v>
      </c>
      <c r="C16" s="77">
        <f>C12+C14</f>
        <v>252.86305895074</v>
      </c>
      <c r="D16" s="77">
        <f>D12+D14</f>
        <v>443.48290339052</v>
      </c>
      <c r="E16" s="77">
        <f>E12+E14</f>
        <v>181.55744459977</v>
      </c>
      <c r="F16" s="77">
        <f>F12+F14</f>
        <v>150.30321685883</v>
      </c>
      <c r="G16" s="77">
        <f>G12+G14</f>
        <v>381.94699813538</v>
      </c>
      <c r="H16" s="77">
        <f>H12+H14</f>
        <v>86.645383836266</v>
      </c>
      <c r="I16" s="77">
        <f>I12+I14</f>
        <v>136.1570317427</v>
      </c>
      <c r="J16" s="77">
        <f>J12+J14</f>
        <v>64.099901307442</v>
      </c>
      <c r="K16" s="77">
        <f>K12+K14</f>
        <v>31.121607255475</v>
      </c>
      <c r="L16" s="77">
        <f>L12+L14</f>
        <v>143.58377892867</v>
      </c>
      <c r="M16" s="77">
        <f>M12+M14</f>
        <v>275.85060976444</v>
      </c>
      <c r="N16" s="77">
        <f>N12+N14</f>
        <v>101.8525328361</v>
      </c>
      <c r="O16" s="77">
        <f>O12+O14</f>
        <v>105.21225180118</v>
      </c>
      <c r="P16" s="77">
        <f>P12+P14</f>
        <v>49.334820592486</v>
      </c>
      <c r="Q16" s="85">
        <f>SUM(C16:P16)</f>
        <v>2404.01154</v>
      </c>
    </row>
    <row r="17" spans="1:21">
      <c r="B17" t="s">
        <v>112</v>
      </c>
      <c r="C17" s="77">
        <f>IF(Q11&gt;5000,100*C13,50*C13)</f>
        <v>10.518379581104</v>
      </c>
      <c r="D17" s="77">
        <f>IF(Q11&gt;5000,100*D13,50*D13)</f>
        <v>18.447619573013</v>
      </c>
      <c r="E17" s="77">
        <f>IF(Q11&gt;5000,100*E13,50*E13)</f>
        <v>7.5522700943344</v>
      </c>
      <c r="F17" s="77">
        <f>IF(Q11&gt;5000,100*F13,50*F13)</f>
        <v>6.2521836670896</v>
      </c>
      <c r="G17" s="77">
        <f>IF(Q11&gt;5000,100*G13,50*G13)</f>
        <v>15.887902024604</v>
      </c>
      <c r="H17" s="77">
        <f>IF(Q11&gt;5000,100*H13,50*H13)</f>
        <v>3.6041999963222</v>
      </c>
      <c r="I17" s="77">
        <f>IF(Q11&gt;5000,100*I13,50*I13)</f>
        <v>5.6637428513635</v>
      </c>
      <c r="J17" s="77">
        <f>IF(Q11&gt;5000,100*J13,50*J13)</f>
        <v>2.6663724462588</v>
      </c>
      <c r="K17" s="77">
        <f>IF(Q11&gt;5000,100*K13,50*K13)</f>
        <v>1.2945697945974</v>
      </c>
      <c r="L17" s="77">
        <f>IF(Q11&gt;5000,100*L13,50*L13)</f>
        <v>5.9726742796197</v>
      </c>
      <c r="M17" s="77">
        <f>IF(Q11&gt;5000,100*M13,50*M13)</f>
        <v>11.474595906659</v>
      </c>
      <c r="N17" s="77">
        <f>IF(Q11&gt;5000,100*N13,50*N13)</f>
        <v>4.2367738732278</v>
      </c>
      <c r="O17" s="77">
        <f>IF(Q11&gt;5000,100*O13,50*O13)</f>
        <v>4.3765285669627</v>
      </c>
      <c r="P17" s="77">
        <f>IF(Q11&gt;5000,100*P13,50*P13)</f>
        <v>2.0521873448447</v>
      </c>
      <c r="Q17" s="85">
        <f>SUM(C17:P17)</f>
        <v>100</v>
      </c>
    </row>
    <row r="18" spans="1:21">
      <c r="B18" t="s">
        <v>113</v>
      </c>
      <c r="C18" s="77">
        <f>C15+C17</f>
        <v>1693.3814385318</v>
      </c>
      <c r="D18" s="77">
        <f>D15+D17</f>
        <v>2969.9305229635</v>
      </c>
      <c r="E18" s="77">
        <f>E15+E17</f>
        <v>1215.8597146941</v>
      </c>
      <c r="F18" s="77">
        <f>F15+F17</f>
        <v>1006.5554005259</v>
      </c>
      <c r="G18" s="77">
        <f>G15+G17</f>
        <v>2557.83490016</v>
      </c>
      <c r="H18" s="77">
        <f>H15+H17</f>
        <v>580.24958383259</v>
      </c>
      <c r="I18" s="77">
        <f>I15+I17</f>
        <v>911.82077459407</v>
      </c>
      <c r="J18" s="77">
        <f>J15+J17</f>
        <v>429.2662737537</v>
      </c>
      <c r="K18" s="77">
        <f>K15+K17</f>
        <v>208.41617705007</v>
      </c>
      <c r="L18" s="77">
        <f>L15+L17</f>
        <v>961.55645320829</v>
      </c>
      <c r="M18" s="77">
        <f>M15+M17</f>
        <v>1847.3252056711</v>
      </c>
      <c r="N18" s="77">
        <f>N15+N17</f>
        <v>682.08930670933</v>
      </c>
      <c r="O18" s="77">
        <f>O15+O17</f>
        <v>704.58878036814</v>
      </c>
      <c r="P18" s="77">
        <f>P15+P17</f>
        <v>330.38700793733</v>
      </c>
      <c r="Q18" s="85">
        <f>SUM(C18:P18)</f>
        <v>16099.26154</v>
      </c>
    </row>
    <row r="19" spans="1:21">
      <c r="B19" s="76" t="s">
        <v>114</v>
      </c>
      <c r="C19" s="77">
        <f>C16+C17</f>
        <v>263.38143853184</v>
      </c>
      <c r="D19" s="77">
        <f>D16+D17</f>
        <v>461.93052296353</v>
      </c>
      <c r="E19" s="77">
        <f>E16+E17</f>
        <v>189.1097146941</v>
      </c>
      <c r="F19" s="77">
        <f>F16+F17</f>
        <v>156.55540052592</v>
      </c>
      <c r="G19" s="77">
        <f>G16+G17</f>
        <v>397.83490015998</v>
      </c>
      <c r="H19" s="77">
        <f>H16+H17</f>
        <v>90.249583832589</v>
      </c>
      <c r="I19" s="77">
        <f>I16+I17</f>
        <v>141.82077459407</v>
      </c>
      <c r="J19" s="77">
        <f>J16+J17</f>
        <v>66.766273753701</v>
      </c>
      <c r="K19" s="77">
        <f>K16+K17</f>
        <v>32.416177050073</v>
      </c>
      <c r="L19" s="77">
        <f>L16+L17</f>
        <v>149.55645320829</v>
      </c>
      <c r="M19" s="77">
        <f>M16+M17</f>
        <v>287.3252056711</v>
      </c>
      <c r="N19" s="77">
        <f>N16+N17</f>
        <v>106.08930670933</v>
      </c>
      <c r="O19" s="77">
        <f>O16+O17</f>
        <v>109.58878036814</v>
      </c>
      <c r="P19" s="77">
        <f>P16+P17</f>
        <v>51.387007937331</v>
      </c>
      <c r="Q19" s="85">
        <f>SUM(C19:P19)</f>
        <v>2504.01154</v>
      </c>
    </row>
    <row r="23" spans="1:21">
      <c r="B23" s="73" t="s">
        <v>124</v>
      </c>
      <c r="C23"/>
      <c r="D23"/>
      <c r="E23"/>
    </row>
    <row r="26" spans="1:21">
      <c r="B26" t="s">
        <v>125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f>SUM(C26:P26)</f>
        <v>0</v>
      </c>
    </row>
    <row r="27" spans="1:21">
      <c r="C27" s="83">
        <v>0.0</v>
      </c>
      <c r="D27" s="83">
        <v>0.0</v>
      </c>
      <c r="E27" s="83">
        <v>0.0</v>
      </c>
      <c r="F27" s="83">
        <v>0.0</v>
      </c>
      <c r="G27" s="83">
        <v>0.0</v>
      </c>
      <c r="H27" s="83">
        <v>0.0</v>
      </c>
      <c r="I27" s="83">
        <v>0.0</v>
      </c>
      <c r="J27" s="83">
        <v>0.0</v>
      </c>
      <c r="K27" s="83">
        <v>0.0</v>
      </c>
      <c r="L27" s="83">
        <v>0.0</v>
      </c>
      <c r="M27" s="83">
        <v>0.0</v>
      </c>
      <c r="N27" s="83">
        <v>0.0</v>
      </c>
      <c r="O27" s="83">
        <v>0.06</v>
      </c>
      <c r="P27" s="83">
        <v>0.0</v>
      </c>
      <c r="Q27" s="82">
        <f>SUM(C27:P27)</f>
        <v>0.06</v>
      </c>
    </row>
    <row r="28" spans="1:21">
      <c r="B28" t="s">
        <v>118</v>
      </c>
      <c r="C28" s="77">
        <f>MAX(C19,C18)*C27</f>
        <v>0</v>
      </c>
      <c r="D28" s="77">
        <f>MAX(D19,D18)*D27</f>
        <v>0</v>
      </c>
      <c r="E28" s="77">
        <f>MAX(E19,E18)*E27</f>
        <v>0</v>
      </c>
      <c r="F28" s="77">
        <f>MAX(F19,F18)*F27</f>
        <v>0</v>
      </c>
      <c r="G28" s="77">
        <f>MAX(G19,G18)*G27</f>
        <v>0</v>
      </c>
      <c r="H28" s="77">
        <f>MAX(H19,H18)*H27</f>
        <v>0</v>
      </c>
      <c r="I28" s="77">
        <f>MAX(I19,I18)*I27</f>
        <v>0</v>
      </c>
      <c r="J28" s="77">
        <f>MAX(J19,J18)*J27</f>
        <v>0</v>
      </c>
      <c r="K28" s="77">
        <f>MAX(K19,K18)*K27</f>
        <v>0</v>
      </c>
      <c r="L28" s="77">
        <f>MAX(L19,L18)*L27</f>
        <v>0</v>
      </c>
      <c r="M28" s="77">
        <f>MAX(M19,M18)*M27</f>
        <v>0</v>
      </c>
      <c r="N28" s="77">
        <f>MAX(N19,N18)*N27</f>
        <v>0</v>
      </c>
      <c r="O28" s="77">
        <f>MAX(O19,O18)*O27</f>
        <v>42.275326822088</v>
      </c>
      <c r="P28" s="77">
        <f>MAX(P19,P18)*P27</f>
        <v>0</v>
      </c>
      <c r="Q28" s="77">
        <f>SUM(C28:P28)</f>
        <v>42.275326822088</v>
      </c>
    </row>
    <row r="29" spans="1:21">
      <c r="B29" t="s">
        <v>30</v>
      </c>
      <c r="C29" s="77">
        <f>0.16*(MAX(C19,C18)+C28)</f>
        <v>270.94103016509</v>
      </c>
      <c r="D29" s="77">
        <f>0.16*(MAX(D19,D18)+D28)</f>
        <v>475.18888367416</v>
      </c>
      <c r="E29" s="77">
        <f>0.16*(MAX(E19,E18)+E28)</f>
        <v>194.53755435106</v>
      </c>
      <c r="F29" s="77">
        <f>0.16*(MAX(F19,F18)+F28)</f>
        <v>161.04886408415</v>
      </c>
      <c r="G29" s="77">
        <f>0.16*(MAX(G19,G18)+G28)</f>
        <v>409.2535840256</v>
      </c>
      <c r="H29" s="77">
        <f>0.16*(MAX(H19,H18)+H28)</f>
        <v>92.839933413214</v>
      </c>
      <c r="I29" s="77">
        <f>0.16*(MAX(I19,I18)+I28)</f>
        <v>145.89132393505</v>
      </c>
      <c r="J29" s="77">
        <f>0.16*(MAX(J19,J18)+J28)</f>
        <v>68.682603800592</v>
      </c>
      <c r="K29" s="77">
        <f>0.16*(MAX(K19,K18)+K28)</f>
        <v>33.346588328012</v>
      </c>
      <c r="L29" s="77">
        <f>0.16*(MAX(L19,L18)+L28)</f>
        <v>153.84903251333</v>
      </c>
      <c r="M29" s="77">
        <f>0.16*(MAX(M19,M18)+M28)</f>
        <v>295.57203290738</v>
      </c>
      <c r="N29" s="77">
        <f>0.16*(MAX(N19,N18)+N28)</f>
        <v>109.13428907349</v>
      </c>
      <c r="O29" s="77">
        <f>0.16*(MAX(O19,O18)+O28)</f>
        <v>119.49825715044</v>
      </c>
      <c r="P29" s="77">
        <f>0.16*(MAX(P19,P18)+P28)</f>
        <v>52.861921269973</v>
      </c>
      <c r="Q29" s="77">
        <f>SUM(C29:P29)</f>
        <v>2582.6458986915</v>
      </c>
    </row>
    <row r="30" spans="1:21">
      <c r="B30" t="s">
        <v>31</v>
      </c>
      <c r="C30" s="77">
        <f>0.02*(MAX(C19,C18)+C28)</f>
        <v>33.867628770637</v>
      </c>
      <c r="D30" s="77">
        <f>0.02*(MAX(D19,D18)+D28)</f>
        <v>59.39861045927</v>
      </c>
      <c r="E30" s="77">
        <f>0.02*(MAX(E19,E18)+E28)</f>
        <v>24.317194293882</v>
      </c>
      <c r="F30" s="77">
        <f>0.02*(MAX(F19,F18)+F28)</f>
        <v>20.131108010518</v>
      </c>
      <c r="G30" s="77">
        <f>0.02*(MAX(G19,G18)+G28)</f>
        <v>51.1566980032</v>
      </c>
      <c r="H30" s="77">
        <f>0.02*(MAX(H19,H18)+H28)</f>
        <v>11.604991676652</v>
      </c>
      <c r="I30" s="77">
        <f>0.02*(MAX(I19,I18)+I28)</f>
        <v>18.236415491881</v>
      </c>
      <c r="J30" s="77">
        <f>0.02*(MAX(J19,J18)+J28)</f>
        <v>8.585325475074</v>
      </c>
      <c r="K30" s="77">
        <f>0.02*(MAX(K19,K18)+K28)</f>
        <v>4.1683235410015</v>
      </c>
      <c r="L30" s="77">
        <f>0.02*(MAX(L19,L18)+L28)</f>
        <v>19.231129064166</v>
      </c>
      <c r="M30" s="77">
        <f>0.02*(MAX(M19,M18)+M28)</f>
        <v>36.946504113422</v>
      </c>
      <c r="N30" s="77">
        <f>0.02*(MAX(N19,N18)+N28)</f>
        <v>13.641786134187</v>
      </c>
      <c r="O30" s="77">
        <f>0.02*(MAX(O19,O18)+O28)</f>
        <v>14.937282143805</v>
      </c>
      <c r="P30" s="77">
        <f>0.02*(MAX(P19,P18)+P28)</f>
        <v>6.6077401587466</v>
      </c>
      <c r="Q30" s="77">
        <f>SUM(C30:P30)</f>
        <v>322.83073733644</v>
      </c>
    </row>
    <row r="31" spans="1:21">
      <c r="B31" t="s">
        <v>119</v>
      </c>
      <c r="C31" s="77">
        <f>0.035*(MAX(C18,C19) +C28+C29+C30)</f>
        <v>69.936653411365</v>
      </c>
      <c r="D31" s="77">
        <f>0.035*(MAX(D18,D19) +D28+D29+D30)</f>
        <v>122.65813059839</v>
      </c>
      <c r="E31" s="77">
        <f>0.035*(MAX(E18,E19) +E28+E29+E30)</f>
        <v>50.215006216866</v>
      </c>
      <c r="F31" s="77">
        <f>0.035*(MAX(F18,F19) +F28+F29+F30)</f>
        <v>41.57073804172</v>
      </c>
      <c r="G31" s="77">
        <f>0.035*(MAX(G18,G19) +G28+G29+G30)</f>
        <v>105.63858137661</v>
      </c>
      <c r="H31" s="77">
        <f>0.035*(MAX(H18,H19) +H28+H29+H30)</f>
        <v>23.964307812286</v>
      </c>
      <c r="I31" s="77">
        <f>0.035*(MAX(I18,I19) +I28+I29+I30)</f>
        <v>37.658197990735</v>
      </c>
      <c r="J31" s="77">
        <f>0.035*(MAX(J18,J19) +J28+J29+J30)</f>
        <v>17.728697106028</v>
      </c>
      <c r="K31" s="77">
        <f>0.035*(MAX(K18,K19) +K28+K29+K30)</f>
        <v>8.607588112168</v>
      </c>
      <c r="L31" s="77">
        <f>0.035*(MAX(L18,L19) +L28+L29+L30)</f>
        <v>39.712281517502</v>
      </c>
      <c r="M31" s="77">
        <f>0.035*(MAX(M18,M19) +M28+M29+M30)</f>
        <v>76.294530994217</v>
      </c>
      <c r="N31" s="77">
        <f>0.035*(MAX(N18,N19) +N28+N29+N30)</f>
        <v>28.170288367095</v>
      </c>
      <c r="O31" s="77">
        <f>0.035*(MAX(O18,O19) +O28+O29+O30)</f>
        <v>30.845487626956</v>
      </c>
      <c r="P31" s="77">
        <f>0.035*(MAX(P18,P19) +P28+P29+P30)</f>
        <v>13.644983427812</v>
      </c>
      <c r="Q31" s="77">
        <f>SUM(C31:P31)</f>
        <v>666.64547259975</v>
      </c>
    </row>
    <row r="32" spans="1:21">
      <c r="B32" t="s">
        <v>35</v>
      </c>
      <c r="C32" s="77">
        <f>SUM(C28:C31)</f>
        <v>374.7453123471</v>
      </c>
      <c r="D32" s="77">
        <f>SUM(D28:D31)</f>
        <v>657.24562473183</v>
      </c>
      <c r="E32" s="77">
        <f>SUM(E28:E31)</f>
        <v>269.0697548618</v>
      </c>
      <c r="F32" s="77">
        <f>SUM(F28:F31)</f>
        <v>222.75071013639</v>
      </c>
      <c r="G32" s="77">
        <f>SUM(G28:G31)</f>
        <v>566.0488634054</v>
      </c>
      <c r="H32" s="77">
        <f>SUM(H28:H31)</f>
        <v>128.40923290215</v>
      </c>
      <c r="I32" s="77">
        <f>SUM(I28:I31)</f>
        <v>201.78593741767</v>
      </c>
      <c r="J32" s="77">
        <f>SUM(J28:J31)</f>
        <v>94.996626381694</v>
      </c>
      <c r="K32" s="77">
        <f>SUM(K28:K31)</f>
        <v>46.122499981181</v>
      </c>
      <c r="L32" s="77">
        <f>SUM(L28:L31)</f>
        <v>212.79244309499</v>
      </c>
      <c r="M32" s="77">
        <f>SUM(M28:M31)</f>
        <v>408.81306801502</v>
      </c>
      <c r="N32" s="77">
        <f>SUM(N28:N31)</f>
        <v>150.94636357477</v>
      </c>
      <c r="O32" s="77">
        <f>SUM(O28:O31)</f>
        <v>207.55635374329</v>
      </c>
      <c r="P32" s="77">
        <f>SUM(P28:P31)</f>
        <v>73.114644856531</v>
      </c>
      <c r="Q32" s="77">
        <f>SUM(Q28:Q31)</f>
        <v>3614.3974354498</v>
      </c>
    </row>
    <row r="37" spans="1:21">
      <c r="B37" s="73" t="s">
        <v>126</v>
      </c>
      <c r="C37"/>
      <c r="D37"/>
      <c r="E37"/>
    </row>
    <row r="40" spans="1:21">
      <c r="B40" t="s">
        <v>120</v>
      </c>
      <c r="C40" s="77">
        <f>C13*Q40</f>
        <v>168.57537263382</v>
      </c>
      <c r="D40" s="77">
        <f>D13*Q40</f>
        <v>295.65526892701</v>
      </c>
      <c r="E40" s="77">
        <f>E13*Q40</f>
        <v>121.03829639985</v>
      </c>
      <c r="F40" s="77">
        <f>F13*Q40</f>
        <v>100.20214457255</v>
      </c>
      <c r="G40" s="77">
        <f>G13*Q40</f>
        <v>254.63133209025</v>
      </c>
      <c r="H40" s="77">
        <f>H13*Q40</f>
        <v>57.763589224178</v>
      </c>
      <c r="I40" s="77">
        <f>I13*Q40</f>
        <v>90.771354495136</v>
      </c>
      <c r="J40" s="77">
        <f>J13*Q40</f>
        <v>42.733267538295</v>
      </c>
      <c r="K40" s="77">
        <f>K13*Q40</f>
        <v>20.747738170317</v>
      </c>
      <c r="L40" s="77">
        <f>L13*Q40</f>
        <v>95.72251928578</v>
      </c>
      <c r="M40" s="77">
        <f>M13*Q40</f>
        <v>183.90040650963</v>
      </c>
      <c r="N40" s="77">
        <f>N13*Q40</f>
        <v>67.901688557401</v>
      </c>
      <c r="O40" s="77">
        <f>O13*Q40</f>
        <v>70.141501200787</v>
      </c>
      <c r="P40" s="77">
        <f>P13*Q40</f>
        <v>32.889880394991</v>
      </c>
      <c r="Q40" s="77">
        <f>IF(Q7&lt;1, U7*0.4,U7*0.4*Q7)</f>
        <v>1602.67436</v>
      </c>
    </row>
    <row r="41" spans="1:21">
      <c r="B41"/>
    </row>
    <row r="43" spans="1:21">
      <c r="B43" t="s">
        <v>120</v>
      </c>
      <c r="C43" t="s">
        <v>48</v>
      </c>
      <c r="D43" t="s">
        <v>49</v>
      </c>
      <c r="E43" t="s">
        <v>50</v>
      </c>
      <c r="F43" t="s">
        <v>51</v>
      </c>
      <c r="G43" t="s">
        <v>52</v>
      </c>
      <c r="H43" t="s">
        <v>53</v>
      </c>
      <c r="I43" t="s">
        <v>54</v>
      </c>
      <c r="J43" t="s">
        <v>55</v>
      </c>
      <c r="K43" t="s">
        <v>56</v>
      </c>
      <c r="L43" t="s">
        <v>57</v>
      </c>
      <c r="M43" t="s">
        <v>58</v>
      </c>
      <c r="N43" t="s">
        <v>59</v>
      </c>
      <c r="O43" t="s">
        <v>60</v>
      </c>
      <c r="P43" t="s">
        <v>97</v>
      </c>
      <c r="Q43" t="s">
        <v>117</v>
      </c>
    </row>
    <row r="44" spans="1:21">
      <c r="B44" t="s">
        <v>121</v>
      </c>
      <c r="C44" s="77">
        <f>SUM(C15,C40,C32,(C26))</f>
        <v>2226.1837439317</v>
      </c>
      <c r="D44" s="77">
        <f>SUM(D15,D40,D32,(D26))</f>
        <v>3904.3837970494</v>
      </c>
      <c r="E44" s="77">
        <f>SUM(E15,E40,E32,(E26))</f>
        <v>1598.4154958614</v>
      </c>
      <c r="F44" s="77">
        <f>SUM(F15,F40,F32,(F26))</f>
        <v>1323.2560715678</v>
      </c>
      <c r="G44" s="77">
        <f>SUM(G15,G40,G32,(G26))</f>
        <v>3362.627193631</v>
      </c>
      <c r="H44" s="77">
        <f>SUM(H15,H40,H32,(H26))</f>
        <v>762.8182059626</v>
      </c>
      <c r="I44" s="77">
        <f>SUM(I15,I40,I32,(I26))</f>
        <v>1198.7143236555</v>
      </c>
      <c r="J44" s="77">
        <f>SUM(J15,J40,J32,(J26))</f>
        <v>564.32979522743</v>
      </c>
      <c r="K44" s="77">
        <f>SUM(K15,K40,K32,(K26))</f>
        <v>273.99184540697</v>
      </c>
      <c r="L44" s="77">
        <f>SUM(L15,L40,L32,(L26))</f>
        <v>1264.0987413094</v>
      </c>
      <c r="M44" s="77">
        <f>SUM(M15,M40,M32,(M26))</f>
        <v>2428.5640842891</v>
      </c>
      <c r="N44" s="77">
        <f>SUM(N15,N40,N32,(N26))</f>
        <v>896.70058496828</v>
      </c>
      <c r="O44" s="77">
        <f>SUM(O15,O40,O32,(O26))</f>
        <v>977.91010674525</v>
      </c>
      <c r="P44" s="77">
        <f>SUM(P15,P40,P32,(P26))</f>
        <v>434.33934584401</v>
      </c>
      <c r="Q44" s="77">
        <f>SUM(C44:P44)</f>
        <v>21216.33333545</v>
      </c>
    </row>
    <row r="45" spans="1:21">
      <c r="B45" t="s">
        <v>44</v>
      </c>
      <c r="C45">
        <v>2200.0</v>
      </c>
      <c r="D45">
        <v>2930.0</v>
      </c>
      <c r="E45">
        <v>555.0</v>
      </c>
      <c r="F45">
        <v>1700.0</v>
      </c>
      <c r="G45">
        <v>4000.0</v>
      </c>
      <c r="H45">
        <v>1400.0</v>
      </c>
      <c r="I45">
        <v>2750.0</v>
      </c>
      <c r="J45">
        <v>1250.0</v>
      </c>
      <c r="K45">
        <v>1100.0</v>
      </c>
      <c r="L45">
        <v>2800.0</v>
      </c>
      <c r="M45">
        <v>6300.0</v>
      </c>
      <c r="N45">
        <v>1800.0</v>
      </c>
      <c r="O45">
        <v>1200.0</v>
      </c>
      <c r="P45">
        <v>1550.0</v>
      </c>
      <c r="Q45"/>
    </row>
    <row r="46" spans="1:21">
      <c r="B46" t="s">
        <v>122</v>
      </c>
      <c r="C46" s="77">
        <f>SUM(C44/C45)</f>
        <v>1.0119017017871</v>
      </c>
      <c r="D46" s="77">
        <f>SUM(D44/D45)</f>
        <v>1.3325541969452</v>
      </c>
      <c r="E46" s="77">
        <f>SUM(E44/E45)</f>
        <v>2.880027920471</v>
      </c>
      <c r="F46" s="77">
        <f>SUM(F44/F45)</f>
        <v>0.77838592445163</v>
      </c>
      <c r="G46" s="77">
        <f>SUM(G44/G45)</f>
        <v>0.84065679840776</v>
      </c>
      <c r="H46" s="77">
        <f>SUM(H44/H45)</f>
        <v>0.54487014711614</v>
      </c>
      <c r="I46" s="77">
        <f>SUM(I44/I45)</f>
        <v>0.43589611769291</v>
      </c>
      <c r="J46" s="77">
        <f>SUM(J44/J45)</f>
        <v>0.45146383618194</v>
      </c>
      <c r="K46" s="77">
        <f>SUM(K44/K45)</f>
        <v>0.24908349582452</v>
      </c>
      <c r="L46" s="77">
        <f>SUM(L44/L45)</f>
        <v>0.45146383618194</v>
      </c>
      <c r="M46" s="77">
        <f>SUM(M44/M45)</f>
        <v>0.38548636258557</v>
      </c>
      <c r="N46" s="77">
        <f>SUM(N44/N45)</f>
        <v>0.49816699164904</v>
      </c>
      <c r="O46" s="77">
        <f>SUM(O44/O45)</f>
        <v>0.81492508895437</v>
      </c>
      <c r="P46" s="77">
        <f>SUM(P44/P45)</f>
        <v>0.28021893280259</v>
      </c>
      <c r="Q46"/>
    </row>
    <row r="47" spans="1:21">
      <c r="B47" t="s">
        <v>123</v>
      </c>
      <c r="C47" s="84">
        <f>C46*3.7</f>
        <v>3.7440362966123</v>
      </c>
      <c r="D47" s="84">
        <f>D46*3.7</f>
        <v>4.9304505286971</v>
      </c>
      <c r="E47" s="84">
        <f>E46*3.7</f>
        <v>10.656103305743</v>
      </c>
      <c r="F47" s="84">
        <f>F46*3.7</f>
        <v>2.880027920471</v>
      </c>
      <c r="G47" s="84">
        <f>G46*3.7</f>
        <v>3.1104301541087</v>
      </c>
      <c r="H47" s="84">
        <f>H46*3.7</f>
        <v>2.0160195443297</v>
      </c>
      <c r="I47" s="84">
        <f>I46*3.7</f>
        <v>1.6128156354638</v>
      </c>
      <c r="J47" s="84">
        <f>J46*3.7</f>
        <v>1.6704161938732</v>
      </c>
      <c r="K47" s="84">
        <f>K46*3.7</f>
        <v>0.92160893455073</v>
      </c>
      <c r="L47" s="84">
        <f>L46*3.7</f>
        <v>1.6704161938732</v>
      </c>
      <c r="M47" s="84">
        <f>M46*3.7</f>
        <v>1.4262995415666</v>
      </c>
      <c r="N47" s="84">
        <f>N46*3.7</f>
        <v>1.8432178691015</v>
      </c>
      <c r="O47" s="84">
        <f>O46*3.7</f>
        <v>3.0152228291312</v>
      </c>
      <c r="P47" s="84">
        <f>P46*3.7</f>
        <v>1.0368100513696</v>
      </c>
      <c r="Q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