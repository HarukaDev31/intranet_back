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<sst xmlns="http://schemas.openxmlformats.org/spreadsheetml/2006/main" uniqueCount="122">
  <si>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PRO MUNDO COMEX S.A.C.</t>
  </si>
  <si>
    <t xml:space="preserve">         RUC: 20612452432</t>
  </si>
  <si>
    <t>COTIZACION N002</t>
  </si>
  <si>
    <t>NOMBRE:</t>
  </si>
  <si>
    <t>MARIBEL VILMA GONZALES HUANCA</t>
  </si>
  <si>
    <t>SERVICIO:</t>
  </si>
  <si>
    <t>CARGA CONSOLIDADA</t>
  </si>
  <si>
    <t>N° CAJAS:</t>
  </si>
  <si>
    <t>APELLIDO:</t>
  </si>
  <si>
    <t>FECHA:</t>
  </si>
  <si>
    <t>PESO:</t>
  </si>
  <si>
    <t>284.5 Kg</t>
  </si>
  <si>
    <t>DNI/RUC:</t>
  </si>
  <si>
    <t>ORIGEN:</t>
  </si>
  <si>
    <t>CHINA</t>
  </si>
  <si>
    <t>MEDIDA:</t>
  </si>
  <si>
    <t>TELEFONO:</t>
  </si>
  <si>
    <t>51 965 497 474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</si>
  <si>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</si>
  <si>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</si>
  <si>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</si>
  <si>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</si>
  <si>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</si>
  <si>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</si>
  <si>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</si>
  <si>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</si>
  <si>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</si>
  <si>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</si>
  <si>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</si>
  <si>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</si>
  <si>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</si>
  <si>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</si>
  <si>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</si>
  <si>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</si>
  <si>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</si>
  <si>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</si>
  <si>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</si>
  <si>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</si>
  <si>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</si>
  <si>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</si>
  <si>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</si>
  <si>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</si>
  <si>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</si>
  <si>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</si>
  <si>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</si>
  <si>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</si>
  <si>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</si>
  <si>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</si>
  <si>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</si>
  <si>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BOINA MODELO LAZO</t>
  </si>
  <si>
    <t>GORRA DE INVIERNO</t>
  </si>
  <si>
    <t>SOMBRERO MODELO LAZO</t>
  </si>
  <si>
    <t>SOMBRERO MODELO LISTON</t>
  </si>
  <si>
    <t>GORRO DE INVIERNO PARA NIÑAS</t>
  </si>
  <si>
    <t>GORRA DE INVIERNO MODELO OREJAS</t>
  </si>
  <si>
    <t>SOMBRERO MODELO OSO</t>
  </si>
  <si>
    <t>22. El monto facturado sera en base al valor de la mercaderia + Gastos Logisticos</t>
  </si>
  <si>
    <t>21.Se emitirá comprobante (boleta o Factura) de su importación en base a la estrategia de declaración realizada.</t>
  </si>
  <si>
    <t>20.Las mercancías son declaradas a nombre de la empresa Grupo Pro Business.</t>
  </si>
  <si>
    <t>19.La fecha de entrega es aproximada, está sujeto a variaciones.</t>
  </si>
  <si>
    <t>18.No somos responsable de las mermas o faltante de la carga (entregamos su pedido tal cual el proveedor envío).</t>
  </si>
  <si>
    <t>17.Los ajustes de valor que aplique la aduana serán asumidos por el cliente.</t>
  </si>
  <si>
    <t>16.Si el cliente no paga los tributos o gastos administrativos de su cotización, Pro Business será dueño total de la carga.</t>
  </si>
  <si>
    <t xml:space="preserve">15.El cliente estará sujeto a pagar mayor el ad- valorem en caso aduanas aplique cambios de partida. </t>
  </si>
  <si>
    <t>se procederá a realizar las acciones legales del caso.</t>
  </si>
  <si>
    <t xml:space="preserve">14.En caso el cliente esté importando una carga que no sea legal y la empresa Pro Business se vea perjudicada, </t>
  </si>
  <si>
    <t>de acogerse a un beneficio arancelario (C.O).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</si>
  <si>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</si>
  <si>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12.No se aceptan productos restringido.</t>
  </si>
  <si>
    <t>11. El costo por metro cubico incluye: Flete – Ag. Aduana – Costos en destino.</t>
  </si>
  <si>
    <t>10. Si aduana realiza un ajuste de valor a su importación, el cliente tendrá que pagar la diferencia.</t>
  </si>
  <si>
    <t>9.No hay opción de reembolso.</t>
  </si>
  <si>
    <t>coordinador  logístico la tarifa.</t>
  </si>
  <si>
    <t>8. Las cargas mayores a 200 kg x bulto tendrán un costo adicional por manipuleo, consultar con el</t>
  </si>
  <si>
    <t>Costo: desde s/20.00</t>
  </si>
  <si>
    <t>7.Los envíos a provincia se realizan a través de la agencia Marvisur o Shalom, con previo pago de flete interno.</t>
  </si>
  <si>
    <t>6.Se procederá a cobrar S/.30 x día de almacenaje si el cliente no recoge su pedido en el plazo acordado.</t>
  </si>
  <si>
    <t>5.Los pagos realizados fuera de fecha están sujetos a un recargo de S/.30 por día.</t>
  </si>
  <si>
    <t>En caso contrario, asumirá el costo de  almacenaje $30 y será embarcado en la próxima salida.</t>
  </si>
  <si>
    <t>4. La carga deberá llegar al almacén –Yiwu en el rango de fecha indicado por su asesor.</t>
  </si>
  <si>
    <t>3. No somos responsables de retraso del proveedor para entregar la carga.</t>
  </si>
  <si>
    <t xml:space="preserve"> No se aceptan marcas con medidas  de frontera. </t>
  </si>
  <si>
    <t>2.Todas las marcas de los productos deben ser verificadas por el cliente,</t>
  </si>
  <si>
    <t xml:space="preserve">1. Todos los pagos se realizan en dólares. </t>
  </si>
  <si>
    <t>TÉRMINOS Y CONDICIONES:</t>
  </si>
  <si>
    <t xml:space="preserve">       RUC: 20612452432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</si>
  <si>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</si>
  <si>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</si>
  <si>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</si>
  <si>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</si>
  <si>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</si>
  <si>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t>NOTAS:</t>
  </si>
  <si>
    <t>GORRA DE INVIERNO MODELO OSO</t>
  </si>
  <si>
    <t>Hola MARIBEL VILMA GONZALES HUANCA 😁 un gusto saludarte!
        A continuación te envío la cotización final de tu importación📋📦.
        🙋‍♂️ PAGO PENDIENTE :
        ☑️Costo CBM: $457.17804
        ☑️Impuestos: $1392.67
        ☑️ Total: $1849.84804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</si>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</sst>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</numFmts>
  <fonts count="23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1"/>
      <color rgb="FF000000"/>
      <name val="Calibri Light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8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9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9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13" numFmtId="0" fillId="3" borderId="9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4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5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6" numFmtId="0" fillId="2" borderId="1" applyFont="1" applyNumberFormat="0" applyFill="1" applyBorder="1" applyAlignment="1">
      <alignment horizontal="center" vertical="bottom" textRotation="0" wrapText="false" shrinkToFit="false"/>
    </xf>
    <xf xfId="0" fontId="17" numFmtId="172" fillId="3" borderId="1" applyFont="1" applyNumberFormat="1" applyFill="1" applyBorder="1" applyAlignment="1">
      <alignment horizontal="center" vertical="bottom" textRotation="0" wrapText="false" shrinkToFit="false"/>
    </xf>
    <xf xfId="0" fontId="16" numFmtId="173" fillId="2" borderId="1" applyFont="1" applyNumberFormat="1" applyFill="1" applyBorder="1" applyAlignment="1">
      <alignment horizontal="center" vertical="bottom" textRotation="0" wrapText="false" shrinkToFit="false"/>
    </xf>
    <xf xfId="0" fontId="16" numFmtId="174" fillId="2" borderId="1" applyFont="1" applyNumberFormat="1" applyFill="1" applyBorder="1" applyAlignment="1">
      <alignment horizontal="center" vertical="bottom" textRotation="0" wrapText="false" shrinkToFit="false"/>
    </xf>
    <xf xfId="0" fontId="16" numFmtId="173" fillId="0" borderId="1" applyFont="1" applyNumberFormat="1" applyFill="0" applyBorder="1" applyAlignment="1">
      <alignment horizontal="center" vertical="bottom" textRotation="0" wrapText="false" shrinkToFit="false"/>
    </xf>
    <xf xfId="0" fontId="18" numFmtId="166" fillId="2" borderId="1" applyFont="1" applyNumberFormat="1" applyFill="1" applyBorder="1" applyAlignment="1">
      <alignment horizontal="left" vertical="bottom" textRotation="0" wrapText="false" shrinkToFit="false"/>
    </xf>
    <xf xfId="0" fontId="19" numFmtId="0" fillId="2" borderId="1" applyFont="1" applyNumberFormat="0" applyFill="1" applyBorder="1" applyAlignment="1">
      <alignment horizontal="center" vertical="bottom" textRotation="0" wrapText="false" shrinkToFit="false"/>
    </xf>
    <xf xfId="0" fontId="19" numFmtId="173" fillId="2" borderId="1" applyFont="1" applyNumberFormat="1" applyFill="1" applyBorder="1" applyAlignment="1">
      <alignment horizontal="center" vertical="bottom" textRotation="0" wrapText="false" shrinkToFit="false"/>
    </xf>
    <xf xfId="0" fontId="19" numFmtId="174" fillId="2" borderId="1" applyFont="1" applyNumberFormat="1" applyFill="1" applyBorder="1" applyAlignment="1">
      <alignment horizontal="center" vertical="bottom" textRotation="0" wrapText="false" shrinkToFit="false"/>
    </xf>
    <xf xfId="0" fontId="20" numFmtId="172" fillId="3" borderId="1" applyFont="1" applyNumberFormat="1" applyFill="1" applyBorder="1" applyAlignment="1">
      <alignment horizontal="center" vertical="bottom" textRotation="0" wrapText="false" shrinkToFit="false"/>
    </xf>
    <xf xfId="0" fontId="21" numFmtId="166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73" fillId="2" borderId="0" applyFont="1" applyNumberFormat="1" applyFill="1" applyBorder="0" applyAlignment="1">
      <alignment horizontal="center" vertical="bottom" textRotation="0" wrapText="false" shrinkToFit="false"/>
    </xf>
    <xf xfId="0" fontId="22" numFmtId="0" fillId="2" borderId="0" applyFont="1" applyNumberFormat="0" applyFill="1" applyBorder="0" applyAlignment="0"/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51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87</xdr:row>
      <xdr:rowOff>104775</xdr:rowOff>
    </xdr:from>
    <xdr:to>
      <xdr:col>8</xdr:col>
      <xdr:colOff>504825</xdr:colOff>
      <xdr:row>105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3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/>
    </row>
    <row r="2" spans="1:14" customHeight="1" ht="18">
      <c r="B2" s="38"/>
      <c r="C2" s="38"/>
      <c r="E2" s="49"/>
      <c r="F2" s="49"/>
      <c r="G2" s="49"/>
      <c r="H2" s="49"/>
      <c r="I2" s="49"/>
      <c r="J2" s="49"/>
      <c r="K2" s="49"/>
      <c r="L2" s="49"/>
      <c r="M2"/>
    </row>
    <row r="3" spans="1:14" customHeight="1" ht="26.25">
      <c r="B3" s="38"/>
      <c r="C3" s="38"/>
      <c r="E3" s="56" t="s">
        <v>0</v>
      </c>
      <c r="F3" s="56"/>
      <c r="G3" s="56"/>
      <c r="H3" s="56"/>
      <c r="I3" s="56"/>
      <c r="J3" s="56"/>
      <c r="M3"/>
    </row>
    <row r="4" spans="1:14" customHeight="1" ht="26.25">
      <c r="B4" s="38"/>
      <c r="C4" s="38"/>
      <c r="E4" s="57" t="s">
        <v>1</v>
      </c>
      <c r="F4" s="57"/>
      <c r="G4" s="57"/>
      <c r="H4" s="57"/>
      <c r="I4" s="57"/>
      <c r="J4" s="57"/>
      <c r="K4" s="11"/>
      <c r="M4"/>
    </row>
    <row r="5" spans="1:14">
      <c r="B5" s="38"/>
      <c r="C5" s="38"/>
      <c r="D5" s="35"/>
      <c r="M5" s="1"/>
    </row>
    <row r="6" spans="1:14">
      <c r="B6" s="38"/>
      <c r="C6" s="38"/>
      <c r="D6" s="23"/>
      <c r="F6" s="23"/>
      <c r="G6" s="23"/>
      <c r="H6" s="23"/>
      <c r="M6" s="1"/>
    </row>
    <row r="7" spans="1:14">
      <c r="A7" s="38"/>
      <c r="B7" s="38"/>
      <c r="C7" s="38"/>
      <c r="E7" s="65" t="s">
        <v>2</v>
      </c>
      <c r="F7" s="65"/>
      <c r="G7" s="65"/>
      <c r="I7" s="38"/>
      <c r="J7" s="38"/>
      <c r="K7" s="38"/>
      <c r="L7" s="38"/>
      <c r="M7" s="1"/>
    </row>
    <row r="8" spans="1:14">
      <c r="B8" s="6" t="s">
        <v>3</v>
      </c>
      <c r="C8" s="102" t="s">
        <v>4</v>
      </c>
      <c r="D8" s="33"/>
      <c r="E8" s="20" t="s">
        <v>5</v>
      </c>
      <c r="F8" s="69" t="s">
        <v>6</v>
      </c>
      <c r="G8" s="70"/>
      <c r="H8" s="32"/>
      <c r="I8" s="1" t="s">
        <v>7</v>
      </c>
      <c r="J8" s="61">
        <f>+'2'!F7</f>
        <v>0</v>
      </c>
      <c r="K8" s="61"/>
      <c r="L8" s="61"/>
      <c r="M8" s="1"/>
    </row>
    <row r="9" spans="1:14">
      <c r="B9" s="6" t="s">
        <v>8</v>
      </c>
      <c r="C9" s="14"/>
      <c r="D9" s="33"/>
      <c r="E9" s="21" t="s">
        <v>9</v>
      </c>
      <c r="F9" s="66">
        <f>+TODAY()</f>
        <v>45969</v>
      </c>
      <c r="G9" s="67"/>
      <c r="H9" s="32"/>
      <c r="I9" s="1" t="s">
        <v>10</v>
      </c>
      <c r="J9" s="101" t="s">
        <v>11</v>
      </c>
      <c r="K9" s="64"/>
      <c r="L9" s="64"/>
      <c r="M9" s="1"/>
    </row>
    <row r="10" spans="1:14">
      <c r="B10" s="6" t="s">
        <v>12</v>
      </c>
      <c r="C10" s="14">
        <v>41877382</v>
      </c>
      <c r="D10" s="33"/>
      <c r="E10" s="25" t="s">
        <v>13</v>
      </c>
      <c r="F10" s="49" t="s">
        <v>14</v>
      </c>
      <c r="G10" s="68"/>
      <c r="H10" s="32"/>
      <c r="I10" s="1" t="s">
        <v>15</v>
      </c>
      <c r="J10" s="62"/>
      <c r="K10" s="101"/>
      <c r="L10" s="62"/>
      <c r="M10" s="1"/>
    </row>
    <row r="11" spans="1:14">
      <c r="B11" s="6" t="s">
        <v>16</v>
      </c>
      <c r="C11" s="15" t="s">
        <v>17</v>
      </c>
      <c r="D11" s="34"/>
      <c r="E11" s="22" t="s">
        <v>18</v>
      </c>
      <c r="F11" s="51" t="s">
        <v>19</v>
      </c>
      <c r="G11" s="63"/>
      <c r="H11" s="32"/>
      <c r="I11" s="1" t="s">
        <v>20</v>
      </c>
      <c r="J11" s="100">
        <f>'2'!K7</f>
        <v>2.3</v>
      </c>
      <c r="K11" s="44"/>
      <c r="L11" s="44"/>
      <c r="M11" s="1"/>
    </row>
    <row r="12" spans="1:14"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1"/>
    </row>
    <row r="13" spans="1:14">
      <c r="B13" s="53" t="s">
        <v>21</v>
      </c>
      <c r="C13" s="53"/>
      <c r="D13" s="53"/>
      <c r="E13" s="53"/>
      <c r="F13" s="53"/>
      <c r="G13" s="53"/>
      <c r="H13" s="53"/>
      <c r="I13" s="53"/>
      <c r="J13" s="53"/>
      <c r="K13" s="8" t="s">
        <v>22</v>
      </c>
      <c r="L13" s="8" t="s">
        <v>23</v>
      </c>
      <c r="M13" s="1"/>
    </row>
    <row r="14" spans="1:14">
      <c r="B14" s="36" t="s">
        <v>24</v>
      </c>
      <c r="C14" s="36"/>
      <c r="D14" s="36"/>
      <c r="E14" s="36"/>
      <c r="F14" s="36"/>
      <c r="G14" s="36"/>
      <c r="H14" s="36"/>
      <c r="I14" s="36"/>
      <c r="J14" s="36"/>
      <c r="K14" s="12">
        <f>'2'!K11</f>
        <v>5662.08</v>
      </c>
      <c r="L14" s="7" t="s">
        <v>25</v>
      </c>
      <c r="M14" s="1"/>
    </row>
    <row r="15" spans="1:14">
      <c r="B15" s="54" t="s">
        <v>26</v>
      </c>
      <c r="C15" s="54"/>
      <c r="D15" s="54"/>
      <c r="E15" s="54"/>
      <c r="F15" s="54"/>
      <c r="G15" s="54"/>
      <c r="H15" s="54"/>
      <c r="I15" s="54"/>
      <c r="J15" s="54"/>
      <c r="K15" s="13">
        <f>'2'!K14 + '2'!K17</f>
        <v>631.0654</v>
      </c>
      <c r="L15" s="10" t="s">
        <v>25</v>
      </c>
      <c r="M15" s="1"/>
    </row>
    <row r="16" spans="1:14">
      <c r="B16" s="50" t="s">
        <v>27</v>
      </c>
      <c r="C16" s="50"/>
      <c r="D16" s="50"/>
      <c r="E16" s="50"/>
      <c r="F16" s="50"/>
      <c r="G16" s="50"/>
      <c r="H16" s="50"/>
      <c r="I16" s="50"/>
      <c r="J16" s="50"/>
      <c r="K16" s="12">
        <f>SUM(K14:K15)</f>
        <v>6293.1454</v>
      </c>
      <c r="L16" s="7" t="s">
        <v>25</v>
      </c>
      <c r="M16" s="1"/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1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1"/>
    </row>
    <row r="19" spans="1:14">
      <c r="B19" s="46" t="s">
        <v>28</v>
      </c>
      <c r="C19" s="46"/>
      <c r="D19" s="46"/>
      <c r="E19" s="46"/>
      <c r="F19" s="46"/>
      <c r="G19" s="16"/>
      <c r="H19" s="16"/>
      <c r="I19" s="16"/>
      <c r="J19" s="8" t="s">
        <v>29</v>
      </c>
      <c r="K19" s="8" t="s">
        <v>22</v>
      </c>
      <c r="L19" s="8" t="s">
        <v>23</v>
      </c>
      <c r="M19" s="1"/>
    </row>
    <row r="20" spans="1:14">
      <c r="B20" s="39" t="s">
        <v>30</v>
      </c>
      <c r="C20" s="39"/>
      <c r="D20" s="39"/>
      <c r="E20" s="39"/>
      <c r="F20" s="39"/>
      <c r="G20" s="39"/>
      <c r="H20" s="39"/>
      <c r="I20" s="39"/>
      <c r="J20" s="18">
        <f>MAX('2'!C27:I27)</f>
        <v>0</v>
      </c>
      <c r="K20" s="12">
        <f>'2'!K28</f>
        <v>0</v>
      </c>
      <c r="L20" s="7" t="s">
        <v>25</v>
      </c>
      <c r="M20" s="1"/>
      <c r="N20" t="s">
        <v>93</v>
      </c>
    </row>
    <row r="21" spans="1:14">
      <c r="B21" s="39" t="s">
        <v>31</v>
      </c>
      <c r="C21" s="39"/>
      <c r="D21" s="39"/>
      <c r="E21" s="39"/>
      <c r="F21" s="39"/>
      <c r="G21" s="39"/>
      <c r="H21" s="39"/>
      <c r="I21" s="39"/>
      <c r="J21" s="18">
        <v>0.16</v>
      </c>
      <c r="K21" s="12">
        <f>'2'!K29</f>
        <v>1006.903264</v>
      </c>
      <c r="L21" s="7" t="s">
        <v>25</v>
      </c>
      <c r="M21" s="1"/>
    </row>
    <row r="22" spans="1:14">
      <c r="B22" s="51" t="s">
        <v>32</v>
      </c>
      <c r="C22" s="51"/>
      <c r="D22" s="51"/>
      <c r="E22" s="51"/>
      <c r="F22" s="51"/>
      <c r="G22" s="51"/>
      <c r="H22" s="51"/>
      <c r="I22" s="51"/>
      <c r="J22" s="18">
        <v>0.02</v>
      </c>
      <c r="K22" s="12">
        <f>'2'!K30</f>
        <v>125.862908</v>
      </c>
      <c r="L22" s="7" t="s">
        <v>25</v>
      </c>
      <c r="M22" s="1"/>
    </row>
    <row r="23" spans="1:14">
      <c r="B23" s="50" t="s">
        <v>33</v>
      </c>
      <c r="C23" s="50"/>
      <c r="D23" s="50"/>
      <c r="E23" s="50"/>
      <c r="F23" s="50"/>
      <c r="G23" s="50"/>
      <c r="H23" s="50"/>
      <c r="I23" s="50"/>
      <c r="J23" s="27"/>
      <c r="K23" s="28">
        <f>SUM(K20:K22)</f>
        <v>1132.766172</v>
      </c>
      <c r="L23" s="27" t="s">
        <v>25</v>
      </c>
      <c r="M23" s="1"/>
    </row>
    <row r="24" spans="1:14">
      <c r="B24" s="39"/>
      <c r="C24" s="39"/>
      <c r="D24" s="39"/>
      <c r="E24" s="39"/>
      <c r="F24" s="39"/>
      <c r="G24" s="39"/>
      <c r="H24" s="39"/>
      <c r="I24" s="39"/>
      <c r="J24" s="2"/>
      <c r="K24" s="9"/>
      <c r="L24" s="7"/>
      <c r="M24" s="1"/>
    </row>
    <row r="25" spans="1:14">
      <c r="B25" s="51" t="s">
        <v>34</v>
      </c>
      <c r="C25" s="51"/>
      <c r="D25" s="51"/>
      <c r="E25" s="51"/>
      <c r="F25" s="51"/>
      <c r="G25" s="51"/>
      <c r="H25" s="51"/>
      <c r="I25" s="51"/>
      <c r="J25" s="19" t="s">
        <v>35</v>
      </c>
      <c r="K25" s="13">
        <f>'2'!K31</f>
        <v>259.90690502</v>
      </c>
      <c r="L25" s="10" t="s">
        <v>25</v>
      </c>
      <c r="M25" s="1"/>
    </row>
    <row r="26" spans="1:14">
      <c r="B26" s="50" t="s">
        <v>36</v>
      </c>
      <c r="C26" s="50"/>
      <c r="D26" s="50"/>
      <c r="E26" s="50"/>
      <c r="F26" s="50"/>
      <c r="G26" s="50"/>
      <c r="H26" s="50"/>
      <c r="I26" s="50"/>
      <c r="K26" s="12">
        <f>K23+K25</f>
        <v>1392.67307702</v>
      </c>
      <c r="L26" s="7" t="s">
        <v>25</v>
      </c>
      <c r="M26" s="1"/>
    </row>
    <row r="27" spans="1:14">
      <c r="B27" s="49"/>
      <c r="C27" s="49"/>
      <c r="D27" s="49"/>
      <c r="E27" s="49"/>
      <c r="F27" s="49"/>
      <c r="G27" s="49"/>
      <c r="H27" s="49"/>
      <c r="I27" s="49"/>
      <c r="M27" s="1"/>
    </row>
    <row r="28" spans="1:14" customHeight="1" ht="15.75">
      <c r="B28" s="72" t="s">
        <v>37</v>
      </c>
      <c r="C28" s="72"/>
      <c r="D28" s="72"/>
      <c r="E28" s="72"/>
      <c r="F28" s="72"/>
      <c r="G28" s="72"/>
      <c r="H28" s="72"/>
      <c r="I28" s="72"/>
      <c r="J28" s="72"/>
      <c r="K28" s="26" t="s">
        <v>22</v>
      </c>
      <c r="L28" s="26" t="s">
        <v>23</v>
      </c>
      <c r="M28"/>
    </row>
    <row r="29" spans="1:14">
      <c r="B29" s="39" t="s">
        <v>38</v>
      </c>
      <c r="C29" s="39"/>
      <c r="D29" s="39"/>
      <c r="E29" s="39"/>
      <c r="F29" s="39"/>
      <c r="G29" s="39"/>
      <c r="H29" s="39"/>
      <c r="I29" s="39"/>
      <c r="J29" s="39"/>
      <c r="K29" s="12">
        <f>K14</f>
        <v>5662.08</v>
      </c>
      <c r="L29" s="7" t="s">
        <v>25</v>
      </c>
      <c r="M29" s="1"/>
    </row>
    <row r="30" spans="1:14">
      <c r="B30" s="39" t="s">
        <v>39</v>
      </c>
      <c r="C30" s="39"/>
      <c r="D30" s="39"/>
      <c r="E30" s="39"/>
      <c r="F30" s="39"/>
      <c r="G30" s="39"/>
      <c r="H30" s="39"/>
      <c r="I30" s="39"/>
      <c r="J30" s="39"/>
      <c r="K30" s="12">
        <f>IF(J11&lt;1, '2'!O7, '2'!O7*J11)</f>
        <v>885.109</v>
      </c>
      <c r="L30" s="7" t="s">
        <v>25</v>
      </c>
      <c r="M30" s="1"/>
    </row>
    <row r="31" spans="1:14">
      <c r="B31" s="51" t="s">
        <v>40</v>
      </c>
      <c r="C31" s="51"/>
      <c r="D31" s="51"/>
      <c r="E31" s="51"/>
      <c r="F31" s="51"/>
      <c r="G31" s="51"/>
      <c r="H31" s="51"/>
      <c r="I31" s="51"/>
      <c r="J31" s="51"/>
      <c r="K31" s="13">
        <f>K26</f>
        <v>1392.67307702</v>
      </c>
      <c r="L31" s="10" t="s">
        <v>25</v>
      </c>
      <c r="M31" s="1"/>
    </row>
    <row r="32" spans="1:14">
      <c r="B32" s="50" t="s">
        <v>41</v>
      </c>
      <c r="C32" s="50"/>
      <c r="D32" s="50"/>
      <c r="E32" s="50"/>
      <c r="F32" s="50"/>
      <c r="G32" s="50"/>
      <c r="H32" s="50"/>
      <c r="I32" s="50"/>
      <c r="J32" s="50"/>
      <c r="K32" s="12">
        <f>SUM(K29:K31)</f>
        <v>7939.86207702</v>
      </c>
      <c r="L32" s="7" t="s">
        <v>25</v>
      </c>
      <c r="M32" s="1"/>
    </row>
    <row r="33" spans="1:14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1"/>
    </row>
    <row r="34" spans="1:14">
      <c r="B34" s="58" t="s">
        <v>42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  <c r="M34" s="1"/>
    </row>
    <row r="35" spans="1:14">
      <c r="B35" s="17" t="s">
        <v>43</v>
      </c>
      <c r="C35" s="41" t="s">
        <v>44</v>
      </c>
      <c r="D35" s="42"/>
      <c r="E35" s="43"/>
      <c r="F35" s="4" t="s">
        <v>45</v>
      </c>
      <c r="G35" s="41" t="s">
        <v>46</v>
      </c>
      <c r="H35" s="43"/>
      <c r="I35" s="3" t="s">
        <v>47</v>
      </c>
      <c r="J35" s="24" t="s">
        <v>36</v>
      </c>
      <c r="K35" s="48" t="s">
        <v>48</v>
      </c>
      <c r="L35" s="48"/>
      <c r="M35" s="1"/>
    </row>
    <row r="36" spans="1:14">
      <c r="A36" s="1"/>
      <c r="B36" s="86">
        <v>1</v>
      </c>
      <c r="C36" s="86" t="s">
        <v>49</v>
      </c>
      <c r="D36" s="86"/>
      <c r="E36" s="86"/>
      <c r="F36" s="86">
        <f>'2'!C10</f>
        <v>440</v>
      </c>
      <c r="G36" s="88">
        <f>'2'!C8</f>
        <v>1.55</v>
      </c>
      <c r="H36" s="89"/>
      <c r="I36" s="88">
        <f>'2'!C46</f>
        <v>2.1735450963923</v>
      </c>
      <c r="J36" s="88">
        <f>'2'!C44</f>
        <v>956.35984241262</v>
      </c>
      <c r="K36" s="87">
        <f>'2'!C47</f>
        <v>8.0421168566516</v>
      </c>
      <c r="L36" s="48"/>
      <c r="M36" s="1"/>
    </row>
    <row r="37" spans="1:14" customHeight="1" ht="15.75">
      <c r="A37"/>
      <c r="B37" s="86">
        <v>2</v>
      </c>
      <c r="C37" s="86" t="s">
        <v>50</v>
      </c>
      <c r="D37" s="86"/>
      <c r="E37" s="86"/>
      <c r="F37" s="86">
        <f>'2'!D10</f>
        <v>480</v>
      </c>
      <c r="G37" s="88">
        <f>'2'!D8</f>
        <v>1.65</v>
      </c>
      <c r="H37" s="86"/>
      <c r="I37" s="90">
        <f>'2'!D46</f>
        <v>2.3137738122886</v>
      </c>
      <c r="J37" s="88">
        <f>'2'!D44</f>
        <v>1110.6114298985</v>
      </c>
      <c r="K37" s="87">
        <f>'2'!D47</f>
        <v>8.5609631054678</v>
      </c>
      <c r="L37" s="91"/>
      <c r="M37"/>
    </row>
    <row r="38" spans="1:14" customHeight="1" ht="15.75">
      <c r="A38"/>
      <c r="B38" s="86">
        <v>3</v>
      </c>
      <c r="C38" s="86" t="s">
        <v>51</v>
      </c>
      <c r="D38" s="86"/>
      <c r="E38" s="86"/>
      <c r="F38" s="86">
        <f>'2'!E10</f>
        <v>300</v>
      </c>
      <c r="G38" s="88">
        <f>'2'!E8</f>
        <v>1.8</v>
      </c>
      <c r="H38" s="86"/>
      <c r="I38" s="90">
        <f>'2'!E46</f>
        <v>2.524116886133</v>
      </c>
      <c r="J38" s="88">
        <f>'2'!E44</f>
        <v>757.2350658399</v>
      </c>
      <c r="K38" s="87">
        <f>'2'!E47</f>
        <v>9.3392324786921</v>
      </c>
      <c r="L38" s="91"/>
      <c r="M38"/>
    </row>
    <row r="39" spans="1:14" customHeight="1" ht="15.75">
      <c r="A39"/>
      <c r="B39" s="92">
        <v>4</v>
      </c>
      <c r="C39" s="92" t="s">
        <v>52</v>
      </c>
      <c r="D39" s="92"/>
      <c r="E39" s="92"/>
      <c r="F39" s="92">
        <f>'2'!F10</f>
        <v>194</v>
      </c>
      <c r="G39" s="93">
        <f>'2'!F8</f>
        <v>2.02</v>
      </c>
      <c r="H39" s="94"/>
      <c r="I39" s="93">
        <f>'2'!F46</f>
        <v>2.8326200611048</v>
      </c>
      <c r="J39" s="93">
        <f>'2'!F44</f>
        <v>549.52829185434</v>
      </c>
      <c r="K39" s="95">
        <f>'2'!F47</f>
        <v>10.480694226088</v>
      </c>
      <c r="L39" s="96"/>
      <c r="M39"/>
    </row>
    <row r="40" spans="1:14" customHeight="1" ht="15.75">
      <c r="A40"/>
      <c r="B40" s="92">
        <v>5</v>
      </c>
      <c r="C40" s="92" t="s">
        <v>53</v>
      </c>
      <c r="D40" s="92"/>
      <c r="E40" s="92"/>
      <c r="F40" s="92">
        <f>'2'!G10</f>
        <v>850</v>
      </c>
      <c r="G40" s="93">
        <f>'2'!G8</f>
        <v>1.8635294117647</v>
      </c>
      <c r="H40" s="94"/>
      <c r="I40" s="93">
        <f>'2'!G46</f>
        <v>2.6132033644671</v>
      </c>
      <c r="J40" s="93">
        <f>'2'!G44</f>
        <v>2221.222859797</v>
      </c>
      <c r="K40" s="95">
        <f>'2'!G47</f>
        <v>9.6688524485283</v>
      </c>
      <c r="L40" s="96"/>
      <c r="M40"/>
    </row>
    <row r="41" spans="1:14" customHeight="1" ht="15.75">
      <c r="A41"/>
      <c r="B41" s="92">
        <v>6</v>
      </c>
      <c r="C41" s="92" t="s">
        <v>54</v>
      </c>
      <c r="D41" s="92"/>
      <c r="E41" s="92"/>
      <c r="F41" s="92">
        <f>'2'!H10</f>
        <v>300</v>
      </c>
      <c r="G41" s="93">
        <f>'2'!H8</f>
        <v>1.83</v>
      </c>
      <c r="H41" s="94"/>
      <c r="I41" s="93">
        <f>'2'!H46</f>
        <v>2.5661855009019</v>
      </c>
      <c r="J41" s="93">
        <f>'2'!H44</f>
        <v>769.85565027057</v>
      </c>
      <c r="K41" s="95">
        <f>'2'!H47</f>
        <v>9.494886353337</v>
      </c>
      <c r="L41" s="96"/>
      <c r="M41"/>
    </row>
    <row r="42" spans="1:14" customHeight="1" ht="15.75">
      <c r="A42"/>
      <c r="B42" s="92">
        <v>7</v>
      </c>
      <c r="C42" s="92" t="s">
        <v>55</v>
      </c>
      <c r="D42" s="92"/>
      <c r="E42" s="92"/>
      <c r="F42" s="92">
        <f>'2'!I10</f>
        <v>240</v>
      </c>
      <c r="G42" s="93">
        <f>'2'!I8</f>
        <v>1.65</v>
      </c>
      <c r="H42" s="94"/>
      <c r="I42" s="93">
        <f>'2'!I46</f>
        <v>2.3137738122886</v>
      </c>
      <c r="J42" s="93">
        <f>'2'!I44</f>
        <v>555.30571494926</v>
      </c>
      <c r="K42" s="95">
        <f>'2'!I47</f>
        <v>8.5609631054678</v>
      </c>
      <c r="L42" s="96"/>
      <c r="M42"/>
    </row>
    <row r="43" spans="1:14" customHeight="1" ht="15.75">
      <c r="A43"/>
      <c r="B43" s="92">
        <v>8</v>
      </c>
      <c r="C43" s="92" t="s">
        <v>92</v>
      </c>
      <c r="D43" s="92"/>
      <c r="E43" s="92"/>
      <c r="F43" s="92">
        <f>'2'!J10</f>
        <v>360</v>
      </c>
      <c r="G43" s="93">
        <f>'2'!J8</f>
        <v>2.02</v>
      </c>
      <c r="H43" s="94"/>
      <c r="I43" s="93">
        <f>'2'!J46</f>
        <v>2.8326200611048</v>
      </c>
      <c r="J43" s="93">
        <f>'2'!J44</f>
        <v>1019.7432219977</v>
      </c>
      <c r="K43" s="95">
        <f>'2'!J47</f>
        <v>10.480694226088</v>
      </c>
      <c r="L43" s="96"/>
      <c r="M43"/>
    </row>
    <row r="44" spans="1:14">
      <c r="A44" s="1"/>
      <c r="B44" s="97" t="s">
        <v>36</v>
      </c>
      <c r="C44" s="5"/>
      <c r="D44" s="5"/>
      <c r="E44" s="5"/>
      <c r="F44" s="97">
        <f>SUM(F36:F43)</f>
        <v>3164</v>
      </c>
      <c r="G44" s="5"/>
      <c r="H44" s="5"/>
      <c r="I44" s="5"/>
      <c r="J44" s="98">
        <f>SUM(J36:J43)</f>
        <v>7939.86207702</v>
      </c>
      <c r="K44" s="29"/>
      <c r="L44" s="30"/>
      <c r="M44" s="1"/>
    </row>
    <row r="45" spans="1:14" customHeight="1" ht="18.75">
      <c r="B45" s="99" t="s">
        <v>91</v>
      </c>
      <c r="C45" s="5"/>
      <c r="D45" s="5"/>
      <c r="E45" s="5"/>
      <c r="F45" s="5"/>
      <c r="G45" s="5"/>
      <c r="H45" s="5"/>
      <c r="I45" s="5"/>
      <c r="J45" s="5"/>
      <c r="K45" s="5"/>
      <c r="L45"/>
      <c r="M45"/>
    </row>
    <row r="46" spans="1:14" customHeight="1" ht="18.75">
      <c r="B46" s="40" t="s">
        <v>90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/>
    </row>
    <row r="47" spans="1:14" customHeight="1" ht="18.75">
      <c r="B47" s="40" t="s">
        <v>89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/>
    </row>
    <row r="48" spans="1:14" customHeight="1" ht="18.75">
      <c r="B48" s="40" t="s">
        <v>88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/>
    </row>
    <row r="49" spans="1:14" customHeight="1" ht="18.75">
      <c r="B49" s="40" t="s">
        <v>87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/>
    </row>
    <row r="50" spans="1:14" customHeight="1" ht="18.75">
      <c r="B50" s="40" t="s">
        <v>86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/>
    </row>
    <row r="51" spans="1:14"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1"/>
    </row>
    <row r="52" spans="1:14" customHeight="1" ht="9">
      <c r="B52" s="38"/>
      <c r="C52" s="38"/>
      <c r="E52" s="38"/>
      <c r="F52" s="38"/>
      <c r="G52" s="38"/>
      <c r="H52" s="38"/>
      <c r="I52" s="38"/>
      <c r="J52" s="38"/>
      <c r="K52" s="38"/>
      <c r="L52" s="38"/>
      <c r="M52" s="38"/>
    </row>
    <row r="53" spans="1:14" customHeight="1" ht="31.9">
      <c r="B53" s="38"/>
      <c r="C53" s="38"/>
      <c r="D53" s="52" t="s">
        <v>0</v>
      </c>
      <c r="E53" s="52"/>
      <c r="F53" s="52"/>
      <c r="G53" s="52"/>
      <c r="H53" s="52"/>
      <c r="I53" s="52"/>
      <c r="J53" s="52"/>
      <c r="K53" s="52"/>
      <c r="L53" s="52"/>
      <c r="M53" s="52"/>
    </row>
    <row r="54" spans="1:14" customHeight="1" ht="21">
      <c r="B54" s="38"/>
      <c r="C54" s="38"/>
      <c r="D54" s="55" t="s">
        <v>85</v>
      </c>
      <c r="E54" s="55"/>
      <c r="F54" s="55"/>
      <c r="G54" s="55"/>
      <c r="H54" s="55"/>
      <c r="I54" s="55"/>
      <c r="M54"/>
    </row>
    <row r="55" spans="1:14">
      <c r="B55" s="38"/>
      <c r="C55" s="38"/>
      <c r="M55" s="1"/>
    </row>
    <row r="56" spans="1:14">
      <c r="B56" s="38"/>
      <c r="C56" s="38"/>
      <c r="M56" s="1"/>
    </row>
    <row r="57" spans="1:14" customHeight="1" ht="21">
      <c r="B57" s="47" t="s">
        <v>84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/>
    </row>
    <row r="58" spans="1:14">
      <c r="M58" s="1"/>
    </row>
    <row r="59" spans="1:14">
      <c r="B59" s="37" t="s">
        <v>83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1"/>
    </row>
    <row r="60" spans="1:14">
      <c r="B60" s="37" t="s">
        <v>82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1"/>
    </row>
    <row r="61" spans="1:14">
      <c r="B61" s="39" t="s">
        <v>81</v>
      </c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1"/>
    </row>
    <row r="62" spans="1:14">
      <c r="B62" s="37" t="s">
        <v>80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1"/>
    </row>
    <row r="63" spans="1:14">
      <c r="B63" s="37" t="s">
        <v>79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1"/>
    </row>
    <row r="64" spans="1:14">
      <c r="B64" s="39" t="s">
        <v>78</v>
      </c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1"/>
    </row>
    <row r="65" spans="1:14">
      <c r="B65" s="37" t="s">
        <v>77</v>
      </c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1"/>
    </row>
    <row r="66" spans="1:14">
      <c r="B66" s="37" t="s">
        <v>76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1"/>
    </row>
    <row r="67" spans="1:14">
      <c r="B67" s="37" t="s">
        <v>75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1"/>
    </row>
    <row r="68" spans="1:14">
      <c r="B68" s="37" t="s">
        <v>74</v>
      </c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1"/>
    </row>
    <row r="69" spans="1:14">
      <c r="B69" s="37" t="s">
        <v>73</v>
      </c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1"/>
    </row>
    <row r="70" spans="1:14">
      <c r="B70" s="37" t="s">
        <v>72</v>
      </c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1"/>
    </row>
    <row r="71" spans="1:14">
      <c r="B71" s="37" t="s">
        <v>71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1"/>
    </row>
    <row r="72" spans="1:14">
      <c r="B72" s="37" t="s">
        <v>70</v>
      </c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1"/>
    </row>
    <row r="73" spans="1:14">
      <c r="B73" s="37" t="s">
        <v>69</v>
      </c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1"/>
    </row>
    <row r="74" spans="1:14">
      <c r="B74" s="37" t="s">
        <v>68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1"/>
    </row>
    <row r="75" spans="1:14">
      <c r="B75" s="37" t="s">
        <v>67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1"/>
    </row>
    <row r="76" spans="1:14">
      <c r="B76" s="36" t="s">
        <v>66</v>
      </c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1"/>
    </row>
    <row r="77" spans="1:14">
      <c r="B77" s="37" t="s">
        <v>65</v>
      </c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1"/>
    </row>
    <row r="78" spans="1:14">
      <c r="B78" s="36" t="s">
        <v>64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1"/>
    </row>
    <row r="79" spans="1:14">
      <c r="B79" s="37" t="s">
        <v>63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1"/>
    </row>
    <row r="80" spans="1:14">
      <c r="B80" s="37" t="s">
        <v>62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1"/>
    </row>
    <row r="81" spans="1:14">
      <c r="B81" s="37" t="s">
        <v>61</v>
      </c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1"/>
    </row>
    <row r="82" spans="1:14">
      <c r="B82" s="37" t="s">
        <v>60</v>
      </c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1"/>
    </row>
    <row r="83" spans="1:14">
      <c r="B83" s="37" t="s">
        <v>59</v>
      </c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1"/>
    </row>
    <row r="84" spans="1:14">
      <c r="A84" s="31"/>
      <c r="B84" s="45" t="s">
        <v>58</v>
      </c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1"/>
    </row>
    <row r="85" spans="1:14">
      <c r="A85" s="31"/>
      <c r="B85" s="37" t="s">
        <v>57</v>
      </c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1"/>
    </row>
    <row r="86" spans="1:14">
      <c r="A86" s="31"/>
      <c r="B86" s="45" t="s">
        <v>56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1"/>
    </row>
    <row r="87" spans="1:14">
      <c r="M87" s="1"/>
    </row>
    <row r="88" spans="1:14">
      <c r="C88" s="38"/>
      <c r="D88" s="38"/>
      <c r="E88" s="38"/>
      <c r="F88" s="38"/>
      <c r="G88" s="38"/>
      <c r="H88" s="38"/>
      <c r="I88" s="38"/>
      <c r="M88" s="1"/>
    </row>
    <row r="89" spans="1:14">
      <c r="C89" s="38"/>
      <c r="D89" s="38"/>
      <c r="E89" s="38"/>
      <c r="F89" s="38"/>
      <c r="G89" s="38"/>
      <c r="H89" s="38"/>
      <c r="I89" s="38"/>
      <c r="M89" s="1"/>
    </row>
    <row r="90" spans="1:14">
      <c r="C90" s="38"/>
      <c r="D90" s="38"/>
      <c r="E90" s="38"/>
      <c r="F90" s="38"/>
      <c r="G90" s="38"/>
      <c r="H90" s="38"/>
      <c r="I90" s="38"/>
      <c r="M90" s="1"/>
    </row>
    <row r="91" spans="1:14">
      <c r="C91" s="38"/>
      <c r="D91" s="38"/>
      <c r="E91" s="38"/>
      <c r="F91" s="38"/>
      <c r="G91" s="38"/>
      <c r="H91" s="38"/>
      <c r="I91" s="38"/>
      <c r="M91" s="1"/>
    </row>
    <row r="92" spans="1:14">
      <c r="C92" s="38"/>
      <c r="D92" s="38"/>
      <c r="E92" s="38"/>
      <c r="F92" s="38"/>
      <c r="G92" s="38"/>
      <c r="H92" s="38"/>
      <c r="I92" s="38"/>
      <c r="M92" s="1"/>
    </row>
    <row r="93" spans="1:14">
      <c r="C93" s="38"/>
      <c r="D93" s="38"/>
      <c r="E93" s="38"/>
      <c r="F93" s="38"/>
      <c r="G93" s="38"/>
      <c r="H93" s="38"/>
      <c r="I93" s="38"/>
      <c r="M93" s="1"/>
    </row>
    <row r="94" spans="1:14">
      <c r="C94" s="38"/>
      <c r="D94" s="38"/>
      <c r="E94" s="38"/>
      <c r="F94" s="38"/>
      <c r="G94" s="38"/>
      <c r="H94" s="38"/>
      <c r="I94" s="38"/>
      <c r="M94" s="1"/>
    </row>
    <row r="95" spans="1:14" customHeight="1" ht="15.6">
      <c r="C95" s="38"/>
      <c r="D95" s="38"/>
      <c r="E95" s="38"/>
      <c r="F95" s="38"/>
      <c r="G95" s="38"/>
      <c r="H95" s="38"/>
      <c r="I95" s="38"/>
      <c r="M95"/>
    </row>
    <row r="96" spans="1:14" customHeight="1" ht="15.6">
      <c r="C96" s="38"/>
      <c r="D96" s="38"/>
      <c r="E96" s="38"/>
      <c r="F96" s="38"/>
      <c r="G96" s="38"/>
      <c r="H96" s="38"/>
      <c r="I96" s="38"/>
      <c r="M96"/>
    </row>
    <row r="97" spans="1:14">
      <c r="C97" s="38"/>
      <c r="D97" s="38"/>
      <c r="E97" s="38"/>
      <c r="F97" s="38"/>
      <c r="G97" s="38"/>
      <c r="H97" s="38"/>
      <c r="I97" s="38"/>
      <c r="M97" s="1"/>
    </row>
    <row r="98" spans="1:14">
      <c r="M98" s="1"/>
    </row>
    <row r="99" spans="1:14">
      <c r="M99" s="1"/>
    </row>
    <row r="100" spans="1:14">
      <c r="M100" s="1"/>
    </row>
    <row r="101" spans="1:14">
      <c r="M101" s="1"/>
    </row>
    <row r="102" spans="1:14">
      <c r="M102" s="1"/>
    </row>
    <row r="103" spans="1:14" customHeight="1" ht="15.6">
      <c r="M103"/>
    </row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8:I97"/>
    <mergeCell ref="A1:L1"/>
    <mergeCell ref="E2:L2"/>
    <mergeCell ref="D54:I54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9:L49"/>
    <mergeCell ref="B47:L47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7:L57"/>
    <mergeCell ref="B48:L48"/>
    <mergeCell ref="D53:J53"/>
    <mergeCell ref="K53:M53"/>
    <mergeCell ref="E52:M52"/>
    <mergeCell ref="K35:L35"/>
    <mergeCell ref="B83:L83"/>
    <mergeCell ref="B78:L78"/>
    <mergeCell ref="B79:L79"/>
    <mergeCell ref="B80:L80"/>
    <mergeCell ref="B81:L81"/>
    <mergeCell ref="B82:L82"/>
    <mergeCell ref="B86:L86"/>
    <mergeCell ref="B69:L69"/>
    <mergeCell ref="B70:L70"/>
    <mergeCell ref="B71:L71"/>
    <mergeCell ref="B62:L62"/>
    <mergeCell ref="B63:L63"/>
    <mergeCell ref="B64:L64"/>
    <mergeCell ref="B65:L65"/>
    <mergeCell ref="B66:L66"/>
    <mergeCell ref="B67:L67"/>
    <mergeCell ref="B68:L68"/>
    <mergeCell ref="B73:L73"/>
    <mergeCell ref="B74:L74"/>
    <mergeCell ref="B75:L75"/>
    <mergeCell ref="B85:L85"/>
    <mergeCell ref="B84:L84"/>
    <mergeCell ref="B76:L76"/>
    <mergeCell ref="B77:L77"/>
    <mergeCell ref="A7:C7"/>
    <mergeCell ref="I7:L7"/>
    <mergeCell ref="B61:L61"/>
    <mergeCell ref="B50:L50"/>
    <mergeCell ref="B46:L46"/>
    <mergeCell ref="B59:L59"/>
    <mergeCell ref="B72:L72"/>
    <mergeCell ref="B60:L60"/>
    <mergeCell ref="J11:L11"/>
    <mergeCell ref="B52:C56"/>
    <mergeCell ref="B19:F19"/>
    <mergeCell ref="C37:E37"/>
    <mergeCell ref="G37:H37"/>
    <mergeCell ref="K37:L37"/>
    <mergeCell ref="C38:E38"/>
    <mergeCell ref="G38:H38"/>
    <mergeCell ref="K38:L38"/>
    <mergeCell ref="C39:E39"/>
    <mergeCell ref="G39:H39"/>
    <mergeCell ref="K39:L39"/>
    <mergeCell ref="C40:E40"/>
    <mergeCell ref="G40:H40"/>
    <mergeCell ref="K40:L40"/>
    <mergeCell ref="C41:E41"/>
    <mergeCell ref="G41:H41"/>
    <mergeCell ref="K41:L41"/>
    <mergeCell ref="C42:E42"/>
    <mergeCell ref="G42:H42"/>
    <mergeCell ref="K42:L42"/>
    <mergeCell ref="C43:E43"/>
    <mergeCell ref="G43:H43"/>
    <mergeCell ref="K43:L43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51" man="1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0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21.138" bestFit="true" customWidth="true" style="0"/>
    <col min="4" max="4" width="21.138" bestFit="true" customWidth="true" style="0"/>
    <col min="5" max="5" width="24.708" bestFit="true" customWidth="true" style="0"/>
    <col min="6" max="6" width="26.993" bestFit="true" customWidth="true" style="0"/>
    <col min="7" max="7" width="34.135" bestFit="true" customWidth="true" style="0"/>
    <col min="8" max="8" width="37.705" bestFit="true" customWidth="true" style="0"/>
    <col min="9" max="9" width="23.423" bestFit="true" customWidth="true" style="0"/>
    <col min="10" max="10" width="34.135" bestFit="true" customWidth="true" style="0"/>
    <col min="11" max="11" width="11.711" bestFit="true" customWidth="true" style="0"/>
  </cols>
  <sheetData>
    <row r="3" spans="1:15">
      <c r="B3" s="73" t="s">
        <v>94</v>
      </c>
      <c r="C3"/>
      <c r="D3"/>
      <c r="E3"/>
      <c r="F3"/>
      <c r="G3"/>
    </row>
    <row r="5" spans="1:15">
      <c r="B5" s="75" t="s">
        <v>95</v>
      </c>
      <c r="C5" s="74" t="s">
        <v>49</v>
      </c>
      <c r="D5" s="74" t="s">
        <v>50</v>
      </c>
      <c r="E5" s="74" t="s">
        <v>51</v>
      </c>
      <c r="F5" s="74" t="s">
        <v>52</v>
      </c>
      <c r="G5" s="74" t="s">
        <v>53</v>
      </c>
      <c r="H5" s="74" t="s">
        <v>54</v>
      </c>
      <c r="I5" s="74" t="s">
        <v>55</v>
      </c>
      <c r="J5" s="74" t="s">
        <v>92</v>
      </c>
      <c r="K5" s="74" t="s">
        <v>112</v>
      </c>
    </row>
    <row r="6" spans="1:15">
      <c r="B6" t="s">
        <v>96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80">
        <v>284.5</v>
      </c>
      <c r="N6" s="78" t="s">
        <v>110</v>
      </c>
      <c r="O6" s="78" t="s">
        <v>111</v>
      </c>
    </row>
    <row r="7" spans="1:15">
      <c r="B7" t="s">
        <v>97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81">
        <v>2.3</v>
      </c>
      <c r="N7" s="79" t="s">
        <v>19</v>
      </c>
      <c r="O7" s="79">
        <v>384.83</v>
      </c>
    </row>
    <row r="8" spans="1:15">
      <c r="B8" t="s">
        <v>98</v>
      </c>
      <c r="C8" s="77">
        <v>1.55</v>
      </c>
      <c r="D8" s="77">
        <v>1.65</v>
      </c>
      <c r="E8" s="77">
        <v>1.8</v>
      </c>
      <c r="F8" s="77">
        <v>2.02</v>
      </c>
      <c r="G8" s="77">
        <v>1.8635294117647</v>
      </c>
      <c r="H8" s="77">
        <v>1.83</v>
      </c>
      <c r="I8" s="77">
        <v>1.65</v>
      </c>
      <c r="J8" s="77">
        <v>2.02</v>
      </c>
      <c r="K8"/>
    </row>
    <row r="9" spans="1:15">
      <c r="B9" s="76" t="s">
        <v>99</v>
      </c>
      <c r="C9" s="77">
        <v>0.0</v>
      </c>
      <c r="D9" s="77">
        <v>0.0</v>
      </c>
      <c r="E9" s="77">
        <v>0.0</v>
      </c>
      <c r="F9" s="77">
        <v>0.0</v>
      </c>
      <c r="G9" s="77">
        <v>0.0</v>
      </c>
      <c r="H9" s="77">
        <v>0.0</v>
      </c>
      <c r="I9" s="77">
        <v>0.0</v>
      </c>
      <c r="J9" s="77">
        <v>0.0</v>
      </c>
      <c r="K9"/>
    </row>
    <row r="10" spans="1:15">
      <c r="B10" t="s">
        <v>100</v>
      </c>
      <c r="C10">
        <v>440.0</v>
      </c>
      <c r="D10">
        <v>480.0</v>
      </c>
      <c r="E10">
        <v>300.0</v>
      </c>
      <c r="F10">
        <v>194.0</v>
      </c>
      <c r="G10">
        <v>850.0</v>
      </c>
      <c r="H10">
        <v>300.0</v>
      </c>
      <c r="I10">
        <v>240.0</v>
      </c>
      <c r="J10">
        <v>360.0</v>
      </c>
      <c r="K10">
        <f>SUM(C10:J10)</f>
        <v>3164</v>
      </c>
    </row>
    <row r="11" spans="1:15">
      <c r="B11" t="s">
        <v>101</v>
      </c>
      <c r="C11" s="77">
        <f>C8*C10</f>
        <v>682</v>
      </c>
      <c r="D11" s="77">
        <f>D8*D10</f>
        <v>792</v>
      </c>
      <c r="E11" s="77">
        <f>E8*E10</f>
        <v>540</v>
      </c>
      <c r="F11" s="77">
        <f>F8*F10</f>
        <v>391.88</v>
      </c>
      <c r="G11" s="77">
        <f>G8*G10</f>
        <v>1584</v>
      </c>
      <c r="H11" s="77">
        <f>H8*H10</f>
        <v>549</v>
      </c>
      <c r="I11" s="77">
        <f>I8*I10</f>
        <v>396</v>
      </c>
      <c r="J11" s="77">
        <f>J8*J10</f>
        <v>727.2</v>
      </c>
      <c r="K11" s="85">
        <f>SUM(C11:J11)</f>
        <v>5662.08</v>
      </c>
    </row>
    <row r="12" spans="1:15">
      <c r="B12" s="76" t="s">
        <v>102</v>
      </c>
      <c r="C12" s="77">
        <f>C10*C9</f>
        <v>0</v>
      </c>
      <c r="D12" s="77">
        <f>D10*D9</f>
        <v>0</v>
      </c>
      <c r="E12" s="77">
        <f>E10*E9</f>
        <v>0</v>
      </c>
      <c r="F12" s="77">
        <f>F10*F9</f>
        <v>0</v>
      </c>
      <c r="G12" s="77">
        <f>G10*G9</f>
        <v>0</v>
      </c>
      <c r="H12" s="77">
        <f>H10*H9</f>
        <v>0</v>
      </c>
      <c r="I12" s="77">
        <f>I10*I9</f>
        <v>0</v>
      </c>
      <c r="J12" s="77">
        <f>J10*J9</f>
        <v>0</v>
      </c>
      <c r="K12" s="85">
        <f>SUM(C12:J12)</f>
        <v>0</v>
      </c>
    </row>
    <row r="13" spans="1:15">
      <c r="B13" t="s">
        <v>103</v>
      </c>
      <c r="C13" s="82">
        <f>C11/K11</f>
        <v>0.12045043517577</v>
      </c>
      <c r="D13" s="82">
        <f>D11/K11</f>
        <v>0.13987792472024</v>
      </c>
      <c r="E13" s="82">
        <f>E11/K11</f>
        <v>0.095371312309257</v>
      </c>
      <c r="F13" s="82">
        <f>F11/K11</f>
        <v>0.069211314569911</v>
      </c>
      <c r="G13" s="82">
        <f>G11/K11</f>
        <v>0.27975584944049</v>
      </c>
      <c r="H13" s="82">
        <f>H11/K11</f>
        <v>0.096960834181078</v>
      </c>
      <c r="I13" s="82">
        <f>I11/K11</f>
        <v>0.069938962360122</v>
      </c>
      <c r="J13" s="82">
        <f>J11/K11</f>
        <v>0.12843336724313</v>
      </c>
      <c r="K13"/>
    </row>
    <row r="14" spans="1:15">
      <c r="B14" t="s">
        <v>104</v>
      </c>
      <c r="C14" s="77">
        <f>K14*C13</f>
        <v>63.967058536792</v>
      </c>
      <c r="D14" s="77">
        <f>K14*D13</f>
        <v>74.284326042726</v>
      </c>
      <c r="E14" s="77">
        <f>K14*E13</f>
        <v>50.648404120041</v>
      </c>
      <c r="F14" s="77">
        <f>K14*F13</f>
        <v>36.755734456595</v>
      </c>
      <c r="G14" s="77">
        <f>K14*G13</f>
        <v>148.56865208545</v>
      </c>
      <c r="H14" s="77">
        <f>K14*H13</f>
        <v>51.492544188708</v>
      </c>
      <c r="I14" s="77">
        <f>K14*I13</f>
        <v>37.142163021363</v>
      </c>
      <c r="J14" s="77">
        <f>K14*J13</f>
        <v>68.206517548322</v>
      </c>
      <c r="K14" s="85">
        <f>IF(K7&lt;1, O7*0.6, O7*0.6*K7)</f>
        <v>531.0654</v>
      </c>
    </row>
    <row r="15" spans="1:15">
      <c r="B15" t="s">
        <v>105</v>
      </c>
      <c r="C15" s="77">
        <f>C11+C14</f>
        <v>745.96705853679</v>
      </c>
      <c r="D15" s="77">
        <f>D11+D14</f>
        <v>866.28432604273</v>
      </c>
      <c r="E15" s="77">
        <f>E11+E14</f>
        <v>590.64840412004</v>
      </c>
      <c r="F15" s="77">
        <f>F11+F14</f>
        <v>428.6357344566</v>
      </c>
      <c r="G15" s="77">
        <f>G11+G14</f>
        <v>1732.5686520854</v>
      </c>
      <c r="H15" s="77">
        <f>H11+H14</f>
        <v>600.49254418871</v>
      </c>
      <c r="I15" s="77">
        <f>I11+I14</f>
        <v>433.14216302136</v>
      </c>
      <c r="J15" s="77">
        <f>J11+J14</f>
        <v>795.40651754832</v>
      </c>
      <c r="K15" s="85">
        <f>SUM(C15:J15)</f>
        <v>6193.1454</v>
      </c>
    </row>
    <row r="16" spans="1:15">
      <c r="B16" s="76" t="s">
        <v>106</v>
      </c>
      <c r="C16" s="77">
        <f>C12+C14</f>
        <v>63.967058536792</v>
      </c>
      <c r="D16" s="77">
        <f>D12+D14</f>
        <v>74.284326042726</v>
      </c>
      <c r="E16" s="77">
        <f>E12+E14</f>
        <v>50.648404120041</v>
      </c>
      <c r="F16" s="77">
        <f>F12+F14</f>
        <v>36.755734456595</v>
      </c>
      <c r="G16" s="77">
        <f>G12+G14</f>
        <v>148.56865208545</v>
      </c>
      <c r="H16" s="77">
        <f>H12+H14</f>
        <v>51.492544188708</v>
      </c>
      <c r="I16" s="77">
        <f>I12+I14</f>
        <v>37.142163021363</v>
      </c>
      <c r="J16" s="77">
        <f>J12+J14</f>
        <v>68.206517548322</v>
      </c>
      <c r="K16" s="85">
        <f>SUM(C16:J16)</f>
        <v>531.0654</v>
      </c>
    </row>
    <row r="17" spans="1:15">
      <c r="B17" t="s">
        <v>107</v>
      </c>
      <c r="C17" s="77">
        <f>IF(K11&gt;5000,100*C13,50*C13)</f>
        <v>12.045043517577</v>
      </c>
      <c r="D17" s="77">
        <f>IF(K11&gt;5000,100*D13,50*D13)</f>
        <v>13.987792472024</v>
      </c>
      <c r="E17" s="77">
        <f>IF(K11&gt;5000,100*E13,50*E13)</f>
        <v>9.5371312309257</v>
      </c>
      <c r="F17" s="77">
        <f>IF(K11&gt;5000,100*F13,50*F13)</f>
        <v>6.9211314569911</v>
      </c>
      <c r="G17" s="77">
        <f>IF(K11&gt;5000,100*G13,50*G13)</f>
        <v>27.975584944049</v>
      </c>
      <c r="H17" s="77">
        <f>IF(K11&gt;5000,100*H13,50*H13)</f>
        <v>9.6960834181078</v>
      </c>
      <c r="I17" s="77">
        <f>IF(K11&gt;5000,100*I13,50*I13)</f>
        <v>6.9938962360122</v>
      </c>
      <c r="J17" s="77">
        <f>IF(K11&gt;5000,100*J13,50*J13)</f>
        <v>12.843336724313</v>
      </c>
      <c r="K17" s="85">
        <f>SUM(C17:J17)</f>
        <v>100</v>
      </c>
    </row>
    <row r="18" spans="1:15">
      <c r="B18" t="s">
        <v>108</v>
      </c>
      <c r="C18" s="77">
        <f>C15+C17</f>
        <v>758.01210205437</v>
      </c>
      <c r="D18" s="77">
        <f>D15+D17</f>
        <v>880.27211851475</v>
      </c>
      <c r="E18" s="77">
        <f>E15+E17</f>
        <v>600.18553535097</v>
      </c>
      <c r="F18" s="77">
        <f>F15+F17</f>
        <v>435.55686591359</v>
      </c>
      <c r="G18" s="77">
        <f>G15+G17</f>
        <v>1760.5442370295</v>
      </c>
      <c r="H18" s="77">
        <f>H15+H17</f>
        <v>610.18862760682</v>
      </c>
      <c r="I18" s="77">
        <f>I15+I17</f>
        <v>440.13605925738</v>
      </c>
      <c r="J18" s="77">
        <f>J15+J17</f>
        <v>808.24985427263</v>
      </c>
      <c r="K18" s="85">
        <f>SUM(C18:J18)</f>
        <v>6293.1454</v>
      </c>
    </row>
    <row r="19" spans="1:15">
      <c r="B19" s="76" t="s">
        <v>109</v>
      </c>
      <c r="C19" s="77">
        <f>C16+C17</f>
        <v>76.012102054369</v>
      </c>
      <c r="D19" s="77">
        <f>D16+D17</f>
        <v>88.272118514751</v>
      </c>
      <c r="E19" s="77">
        <f>E16+E17</f>
        <v>60.185535350966</v>
      </c>
      <c r="F19" s="77">
        <f>F16+F17</f>
        <v>43.676865913587</v>
      </c>
      <c r="G19" s="77">
        <f>G16+G17</f>
        <v>176.5442370295</v>
      </c>
      <c r="H19" s="77">
        <f>H16+H17</f>
        <v>61.188627606816</v>
      </c>
      <c r="I19" s="77">
        <f>I16+I17</f>
        <v>44.136059257375</v>
      </c>
      <c r="J19" s="77">
        <f>J16+J17</f>
        <v>81.049854272635</v>
      </c>
      <c r="K19" s="85">
        <f>SUM(C19:J19)</f>
        <v>631.0654</v>
      </c>
    </row>
    <row r="23" spans="1:15">
      <c r="B23" s="73" t="s">
        <v>119</v>
      </c>
      <c r="C23"/>
      <c r="D23"/>
      <c r="E23"/>
    </row>
    <row r="26" spans="1:15">
      <c r="B26" t="s">
        <v>120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f>SUM(C26:J26)</f>
        <v>0</v>
      </c>
    </row>
    <row r="27" spans="1:15">
      <c r="C27" s="83">
        <v>0.0</v>
      </c>
      <c r="D27" s="83">
        <v>0.0</v>
      </c>
      <c r="E27" s="83">
        <v>0.0</v>
      </c>
      <c r="F27" s="83">
        <v>0.0</v>
      </c>
      <c r="G27" s="83">
        <v>0.0</v>
      </c>
      <c r="H27" s="83">
        <v>0.0</v>
      </c>
      <c r="I27" s="83">
        <v>0.0</v>
      </c>
      <c r="J27" s="83">
        <v>0.0</v>
      </c>
      <c r="K27" s="82">
        <f>SUM(C27:J27)</f>
        <v>0</v>
      </c>
    </row>
    <row r="28" spans="1:15">
      <c r="B28" t="s">
        <v>113</v>
      </c>
      <c r="C28" s="77">
        <f>MAX(C19,C18)*C27</f>
        <v>0</v>
      </c>
      <c r="D28" s="77">
        <f>MAX(D19,D18)*D27</f>
        <v>0</v>
      </c>
      <c r="E28" s="77">
        <f>MAX(E19,E18)*E27</f>
        <v>0</v>
      </c>
      <c r="F28" s="77">
        <f>MAX(F19,F18)*F27</f>
        <v>0</v>
      </c>
      <c r="G28" s="77">
        <f>MAX(G19,G18)*G27</f>
        <v>0</v>
      </c>
      <c r="H28" s="77">
        <f>MAX(H19,H18)*H27</f>
        <v>0</v>
      </c>
      <c r="I28" s="77">
        <f>MAX(I19,I18)*I27</f>
        <v>0</v>
      </c>
      <c r="J28" s="77">
        <f>MAX(J19,J18)*J27</f>
        <v>0</v>
      </c>
      <c r="K28" s="77">
        <f>SUM(C28:J28)</f>
        <v>0</v>
      </c>
    </row>
    <row r="29" spans="1:15">
      <c r="B29" t="s">
        <v>31</v>
      </c>
      <c r="C29" s="77">
        <f>0.16*(MAX(C19,C18)+C28)</f>
        <v>121.2819363287</v>
      </c>
      <c r="D29" s="77">
        <f>0.16*(MAX(D19,D18)+D28)</f>
        <v>140.84353896236</v>
      </c>
      <c r="E29" s="77">
        <f>0.16*(MAX(E19,E18)+E28)</f>
        <v>96.029685656155</v>
      </c>
      <c r="F29" s="77">
        <f>0.16*(MAX(F19,F18)+F28)</f>
        <v>69.689098546174</v>
      </c>
      <c r="G29" s="77">
        <f>0.16*(MAX(G19,G18)+G28)</f>
        <v>281.68707792472</v>
      </c>
      <c r="H29" s="77">
        <f>0.16*(MAX(H19,H18)+H28)</f>
        <v>97.630180417091</v>
      </c>
      <c r="I29" s="77">
        <f>0.16*(MAX(I19,I18)+I28)</f>
        <v>70.42176948118</v>
      </c>
      <c r="J29" s="77">
        <f>0.16*(MAX(J19,J18)+J28)</f>
        <v>129.31997668362</v>
      </c>
      <c r="K29" s="77">
        <f>SUM(C29:J29)</f>
        <v>1006.903264</v>
      </c>
    </row>
    <row r="30" spans="1:15">
      <c r="B30" t="s">
        <v>32</v>
      </c>
      <c r="C30" s="77">
        <f>0.02*(MAX(C19,C18)+C28)</f>
        <v>15.160242041087</v>
      </c>
      <c r="D30" s="77">
        <f>0.02*(MAX(D19,D18)+D28)</f>
        <v>17.605442370295</v>
      </c>
      <c r="E30" s="77">
        <f>0.02*(MAX(E19,E18)+E28)</f>
        <v>12.003710707019</v>
      </c>
      <c r="F30" s="77">
        <f>0.02*(MAX(F19,F18)+F28)</f>
        <v>8.7111373182717</v>
      </c>
      <c r="G30" s="77">
        <f>0.02*(MAX(G19,G18)+G28)</f>
        <v>35.21088474059</v>
      </c>
      <c r="H30" s="77">
        <f>0.02*(MAX(H19,H18)+H28)</f>
        <v>12.203772552136</v>
      </c>
      <c r="I30" s="77">
        <f>0.02*(MAX(I19,I18)+I28)</f>
        <v>8.8027211851475</v>
      </c>
      <c r="J30" s="77">
        <f>0.02*(MAX(J19,J18)+J28)</f>
        <v>16.164997085453</v>
      </c>
      <c r="K30" s="77">
        <f>SUM(C30:J30)</f>
        <v>125.862908</v>
      </c>
    </row>
    <row r="31" spans="1:15">
      <c r="B31" t="s">
        <v>114</v>
      </c>
      <c r="C31" s="77">
        <f>0.035*(MAX(C18,C19) +C28+C29+C30)</f>
        <v>31.305899814845</v>
      </c>
      <c r="D31" s="77">
        <f>0.035*(MAX(D18,D19) +D28+D29+D30)</f>
        <v>36.355238494659</v>
      </c>
      <c r="E31" s="77">
        <f>0.035*(MAX(E18,E19) +E28+E29+E30)</f>
        <v>24.787662609995</v>
      </c>
      <c r="F31" s="77">
        <f>0.035*(MAX(F18,F19) +F28+F29+F30)</f>
        <v>17.988498562231</v>
      </c>
      <c r="G31" s="77">
        <f>0.035*(MAX(G18,G19) +G28+G29+G30)</f>
        <v>72.710476989318</v>
      </c>
      <c r="H31" s="77">
        <f>0.035*(MAX(H18,H19) +H28+H29+H30)</f>
        <v>25.200790320161</v>
      </c>
      <c r="I31" s="77">
        <f>0.035*(MAX(I18,I19) +I28+I29+I30)</f>
        <v>18.17761924733</v>
      </c>
      <c r="J31" s="77">
        <f>0.035*(MAX(J18,J19) +J28+J29+J30)</f>
        <v>33.38071898146</v>
      </c>
      <c r="K31" s="77">
        <f>SUM(C31:J31)</f>
        <v>259.90690502</v>
      </c>
    </row>
    <row r="32" spans="1:15">
      <c r="B32" t="s">
        <v>36</v>
      </c>
      <c r="C32" s="77">
        <f>SUM(C28:C31)</f>
        <v>167.74807818463</v>
      </c>
      <c r="D32" s="77">
        <f>SUM(D28:D31)</f>
        <v>194.80421982731</v>
      </c>
      <c r="E32" s="77">
        <f>SUM(E28:E31)</f>
        <v>132.82105897317</v>
      </c>
      <c r="F32" s="77">
        <f>SUM(F28:F31)</f>
        <v>96.388734426677</v>
      </c>
      <c r="G32" s="77">
        <f>SUM(G28:G31)</f>
        <v>389.60843965463</v>
      </c>
      <c r="H32" s="77">
        <f>SUM(H28:H31)</f>
        <v>135.03474328939</v>
      </c>
      <c r="I32" s="77">
        <f>SUM(I28:I31)</f>
        <v>97.402109913657</v>
      </c>
      <c r="J32" s="77">
        <f>SUM(J28:J31)</f>
        <v>178.86569275053</v>
      </c>
      <c r="K32" s="77">
        <f>SUM(K28:K31)</f>
        <v>1392.67307702</v>
      </c>
    </row>
    <row r="37" spans="1:15">
      <c r="B37" s="73" t="s">
        <v>121</v>
      </c>
      <c r="C37"/>
      <c r="D37"/>
      <c r="E37"/>
    </row>
    <row r="40" spans="1:15">
      <c r="B40" t="s">
        <v>115</v>
      </c>
      <c r="C40" s="77">
        <f>C13*K40</f>
        <v>42.644705691195</v>
      </c>
      <c r="D40" s="77">
        <f>D13*K40</f>
        <v>49.522884028484</v>
      </c>
      <c r="E40" s="77">
        <f>E13*K40</f>
        <v>33.765602746694</v>
      </c>
      <c r="F40" s="77">
        <f>F13*K40</f>
        <v>24.503822971064</v>
      </c>
      <c r="G40" s="77">
        <f>G13*K40</f>
        <v>99.045768056968</v>
      </c>
      <c r="H40" s="77">
        <f>H13*K40</f>
        <v>34.328362792472</v>
      </c>
      <c r="I40" s="77">
        <f>I13*K40</f>
        <v>24.761442014242</v>
      </c>
      <c r="J40" s="77">
        <f>J13*K40</f>
        <v>45.471011698881</v>
      </c>
      <c r="K40" s="77">
        <f>IF(K7&lt;1, O7*0.4,O7*0.4*K7)</f>
        <v>354.0436</v>
      </c>
    </row>
    <row r="41" spans="1:15">
      <c r="B41"/>
    </row>
    <row r="43" spans="1:15">
      <c r="B43" t="s">
        <v>115</v>
      </c>
      <c r="C43" t="s">
        <v>49</v>
      </c>
      <c r="D43" t="s">
        <v>50</v>
      </c>
      <c r="E43" t="s">
        <v>51</v>
      </c>
      <c r="F43" t="s">
        <v>52</v>
      </c>
      <c r="G43" t="s">
        <v>53</v>
      </c>
      <c r="H43" t="s">
        <v>54</v>
      </c>
      <c r="I43" t="s">
        <v>55</v>
      </c>
      <c r="J43" t="s">
        <v>92</v>
      </c>
      <c r="K43" t="s">
        <v>112</v>
      </c>
    </row>
    <row r="44" spans="1:15">
      <c r="B44" t="s">
        <v>116</v>
      </c>
      <c r="C44" s="77">
        <f>SUM(C15,C40,C32,(C26))</f>
        <v>956.35984241262</v>
      </c>
      <c r="D44" s="77">
        <f>SUM(D15,D40,D32,(D26))</f>
        <v>1110.6114298985</v>
      </c>
      <c r="E44" s="77">
        <f>SUM(E15,E40,E32,(E26))</f>
        <v>757.2350658399</v>
      </c>
      <c r="F44" s="77">
        <f>SUM(F15,F40,F32,(F26))</f>
        <v>549.52829185434</v>
      </c>
      <c r="G44" s="77">
        <f>SUM(G15,G40,G32,(G26))</f>
        <v>2221.222859797</v>
      </c>
      <c r="H44" s="77">
        <f>SUM(H15,H40,H32,(H26))</f>
        <v>769.85565027057</v>
      </c>
      <c r="I44" s="77">
        <f>SUM(I15,I40,I32,(I26))</f>
        <v>555.30571494926</v>
      </c>
      <c r="J44" s="77">
        <f>SUM(J15,J40,J32,(J26))</f>
        <v>1019.7432219977</v>
      </c>
      <c r="K44" s="77">
        <f>SUM(C44:J44)</f>
        <v>7939.86207702</v>
      </c>
    </row>
    <row r="45" spans="1:15">
      <c r="B45" t="s">
        <v>45</v>
      </c>
      <c r="C45">
        <v>440.0</v>
      </c>
      <c r="D45">
        <v>480.0</v>
      </c>
      <c r="E45">
        <v>300.0</v>
      </c>
      <c r="F45">
        <v>194.0</v>
      </c>
      <c r="G45">
        <v>850.0</v>
      </c>
      <c r="H45">
        <v>300.0</v>
      </c>
      <c r="I45">
        <v>240.0</v>
      </c>
      <c r="J45">
        <v>360.0</v>
      </c>
      <c r="K45"/>
    </row>
    <row r="46" spans="1:15">
      <c r="B46" t="s">
        <v>117</v>
      </c>
      <c r="C46" s="77">
        <f>SUM(C44/C45)</f>
        <v>2.1735450963923</v>
      </c>
      <c r="D46" s="77">
        <f>SUM(D44/D45)</f>
        <v>2.3137738122886</v>
      </c>
      <c r="E46" s="77">
        <f>SUM(E44/E45)</f>
        <v>2.524116886133</v>
      </c>
      <c r="F46" s="77">
        <f>SUM(F44/F45)</f>
        <v>2.8326200611048</v>
      </c>
      <c r="G46" s="77">
        <f>SUM(G44/G45)</f>
        <v>2.6132033644671</v>
      </c>
      <c r="H46" s="77">
        <f>SUM(H44/H45)</f>
        <v>2.5661855009019</v>
      </c>
      <c r="I46" s="77">
        <f>SUM(I44/I45)</f>
        <v>2.3137738122886</v>
      </c>
      <c r="J46" s="77">
        <f>SUM(J44/J45)</f>
        <v>2.8326200611048</v>
      </c>
      <c r="K46"/>
    </row>
    <row r="47" spans="1:15">
      <c r="B47" t="s">
        <v>118</v>
      </c>
      <c r="C47" s="84">
        <f>C46*3.7</f>
        <v>8.0421168566516</v>
      </c>
      <c r="D47" s="84">
        <f>D46*3.7</f>
        <v>8.5609631054678</v>
      </c>
      <c r="E47" s="84">
        <f>E46*3.7</f>
        <v>9.3392324786921</v>
      </c>
      <c r="F47" s="84">
        <f>F46*3.7</f>
        <v>10.480694226088</v>
      </c>
      <c r="G47" s="84">
        <f>G46*3.7</f>
        <v>9.6688524485283</v>
      </c>
      <c r="H47" s="84">
        <f>H46*3.7</f>
        <v>9.494886353337</v>
      </c>
      <c r="I47" s="84">
        <f>I46*3.7</f>
        <v>8.5609631054678</v>
      </c>
      <c r="J47" s="84">
        <f>J46*3.7</f>
        <v>10.480694226088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