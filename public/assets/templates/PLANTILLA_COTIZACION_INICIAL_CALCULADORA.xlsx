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Proyectos\Probusiness\intranet_back\public\assets\templates\"/>
    </mc:Choice>
  </mc:AlternateContent>
  <xr:revisionPtr revIDLastSave="0" documentId="13_ncr:1_{51D8E55D-9F98-45EF-93B3-BD939DB7A8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" sheetId="2" r:id="rId1"/>
    <sheet name="2" sheetId="1" r:id="rId2"/>
  </sheets>
  <definedNames>
    <definedName name="_xlnm.Print_Area" localSheetId="0">'1'!$A$1:$K$118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1" i="2" l="1"/>
  <c r="O56" i="2"/>
  <c r="J34" i="2"/>
  <c r="J38" i="2"/>
  <c r="D4" i="1"/>
  <c r="D8" i="1"/>
  <c r="I11" i="2" s="1"/>
  <c r="D5" i="1"/>
  <c r="I8" i="2" s="1"/>
  <c r="D6" i="1"/>
  <c r="I9" i="2" s="1"/>
  <c r="D14" i="1" l="1"/>
  <c r="C19" i="1"/>
  <c r="C18" i="1"/>
  <c r="D18" i="1" s="1"/>
  <c r="C32" i="1"/>
  <c r="E9" i="2"/>
  <c r="D17" i="1"/>
  <c r="D13" i="1"/>
  <c r="D12" i="1"/>
  <c r="D32" i="1" l="1"/>
  <c r="D25" i="1" l="1"/>
  <c r="G16" i="1" l="1"/>
  <c r="I24" i="2" l="1"/>
  <c r="I20" i="2"/>
  <c r="C55" i="1"/>
  <c r="E47" i="2" s="1"/>
  <c r="C53" i="1"/>
  <c r="J24" i="2" l="1"/>
  <c r="D19" i="1"/>
  <c r="C20" i="1" l="1"/>
  <c r="C47" i="1" l="1"/>
  <c r="C25" i="1"/>
  <c r="J14" i="2" l="1"/>
  <c r="O53" i="2" l="1"/>
  <c r="J17" i="2"/>
  <c r="D22" i="1"/>
  <c r="D48" i="1"/>
  <c r="C22" i="1" l="1"/>
  <c r="C23" i="1" s="1"/>
  <c r="C48" i="1"/>
  <c r="C24" i="1" l="1"/>
  <c r="C27" i="1" s="1"/>
  <c r="D27" i="1" s="1"/>
  <c r="C26" i="1"/>
  <c r="D23" i="1"/>
  <c r="D24" i="1" l="1"/>
  <c r="D26" i="1"/>
  <c r="C35" i="1"/>
  <c r="C37" i="1" s="1"/>
  <c r="D35" i="1" l="1"/>
  <c r="C39" i="1"/>
  <c r="D39" i="1" s="1"/>
  <c r="J23" i="2" s="1"/>
  <c r="C38" i="1"/>
  <c r="D38" i="1" s="1"/>
  <c r="J22" i="2" s="1"/>
  <c r="J20" i="2" l="1"/>
  <c r="D37" i="1"/>
  <c r="J25" i="2"/>
  <c r="C40" i="1"/>
  <c r="D40" i="1" s="1"/>
  <c r="J27" i="2" s="1"/>
  <c r="C41" i="1" l="1"/>
  <c r="D41" i="1" s="1"/>
  <c r="J28" i="2"/>
  <c r="J42" i="2" s="1"/>
  <c r="O59" i="2" l="1"/>
  <c r="J43" i="2"/>
  <c r="C54" i="1"/>
  <c r="C56" i="1" s="1"/>
  <c r="D54" i="1" l="1"/>
  <c r="C57" i="1"/>
  <c r="I47" i="2" l="1"/>
</calcChain>
</file>

<file path=xl/sharedStrings.xml><?xml version="1.0" encoding="utf-8"?>
<sst xmlns="http://schemas.openxmlformats.org/spreadsheetml/2006/main" count="191" uniqueCount="139">
  <si>
    <t>VALOR UNITARIO</t>
  </si>
  <si>
    <t>CANTIDAD</t>
  </si>
  <si>
    <t>VALOR FOB</t>
  </si>
  <si>
    <t>DISTRIBUCIÓN %</t>
  </si>
  <si>
    <t>FLETE</t>
  </si>
  <si>
    <t>VALOR CFR</t>
  </si>
  <si>
    <t>SEGURO</t>
  </si>
  <si>
    <t>VALOR CIF</t>
  </si>
  <si>
    <t>TOTAL</t>
  </si>
  <si>
    <t>AD VALOREM</t>
  </si>
  <si>
    <t>PERCEPCIÓN 3.5%</t>
  </si>
  <si>
    <t>TRIBUTOS APLICABLES</t>
  </si>
  <si>
    <t>CALCULOS DE TRIBUTOS</t>
  </si>
  <si>
    <t>IGV       16%</t>
  </si>
  <si>
    <t>IPM       2%</t>
  </si>
  <si>
    <t>ITEM</t>
  </si>
  <si>
    <t>COSTOS DESTINOS</t>
  </si>
  <si>
    <t>COSTO TOTAL DE IMPORTACIÓN</t>
  </si>
  <si>
    <t>COSTO UNITARIO</t>
  </si>
  <si>
    <t>COSTO TOTAL</t>
  </si>
  <si>
    <t>COSTO SOLES</t>
  </si>
  <si>
    <t>TC</t>
  </si>
  <si>
    <t>CLIENTE:</t>
  </si>
  <si>
    <t>TELEFONO:</t>
  </si>
  <si>
    <t>SERVICIO:</t>
  </si>
  <si>
    <t>CARGA CONSOLIDADA</t>
  </si>
  <si>
    <t>ORIGEN:</t>
  </si>
  <si>
    <t>CHINA</t>
  </si>
  <si>
    <t>VOLUMEN:</t>
  </si>
  <si>
    <t>PESO:</t>
  </si>
  <si>
    <t>N° CAJAS:</t>
  </si>
  <si>
    <t>CALCULO DE BASE IMPONIBLE</t>
  </si>
  <si>
    <t>FLETE INTERNACIONAL + SEGURO</t>
  </si>
  <si>
    <t>MONEDA</t>
  </si>
  <si>
    <t>MONTO</t>
  </si>
  <si>
    <t>USD</t>
  </si>
  <si>
    <t>VALOR DE CARGA</t>
  </si>
  <si>
    <t>ADVALOREM</t>
  </si>
  <si>
    <t>IGV</t>
  </si>
  <si>
    <t>IPM</t>
  </si>
  <si>
    <t>ANTIDUMPING</t>
  </si>
  <si>
    <t>PERCEPCIÓN</t>
  </si>
  <si>
    <t>%</t>
  </si>
  <si>
    <t>SUB TOTAL</t>
  </si>
  <si>
    <t>IMPUESTOS</t>
  </si>
  <si>
    <t>TÉRMINOS Y CONDICIONES:</t>
  </si>
  <si>
    <t># ITEM</t>
  </si>
  <si>
    <t>se procederá a realizar las acciones legales del caso.</t>
  </si>
  <si>
    <t>NOTAS:</t>
  </si>
  <si>
    <t xml:space="preserve"> No se aceptan marcas con medidas  de frontera. </t>
  </si>
  <si>
    <t>En caso contrario, asumirá el costo de  almacenaje $30 y será embarcado en la próxima salida.</t>
  </si>
  <si>
    <t>Costo: desde s/20.00</t>
  </si>
  <si>
    <t>coordinador  logístico la tarifa.</t>
  </si>
  <si>
    <t>VALOR ZAPATILLAS</t>
  </si>
  <si>
    <t>CFR CALZADO</t>
  </si>
  <si>
    <t>CIF CALZADO</t>
  </si>
  <si>
    <t>MEDIDA</t>
  </si>
  <si>
    <t>3.5%</t>
  </si>
  <si>
    <t>PRECIO U.</t>
  </si>
  <si>
    <t>PRECIO UNIT. (SOLES)</t>
  </si>
  <si>
    <t>NOMBRE PRODUCTO</t>
  </si>
  <si>
    <t>COSTO UNI.</t>
  </si>
  <si>
    <t>NOMBRE:</t>
  </si>
  <si>
    <t>TOTAL CBM</t>
  </si>
  <si>
    <t>NOMBRE</t>
  </si>
  <si>
    <r>
      <rPr>
        <b/>
        <sz val="14"/>
        <color theme="1"/>
        <rFont val="Calibri Light"/>
        <family val="2"/>
        <scheme val="major"/>
      </rPr>
      <t>*</t>
    </r>
    <r>
      <rPr>
        <sz val="14"/>
        <color theme="1"/>
        <rFont val="Calibri Light"/>
        <family val="2"/>
        <scheme val="major"/>
      </rPr>
      <t>Las fechas brindadas son estimadas, estan sujetas a variación.</t>
    </r>
  </si>
  <si>
    <r>
      <rPr>
        <b/>
        <sz val="14"/>
        <color theme="1"/>
        <rFont val="Calibri Light"/>
        <family val="2"/>
        <scheme val="major"/>
      </rPr>
      <t>*</t>
    </r>
    <r>
      <rPr>
        <sz val="14"/>
        <color theme="1"/>
        <rFont val="Calibri Light"/>
        <family val="2"/>
        <scheme val="major"/>
      </rPr>
      <t>No se emite comprobante por concepto de "PERCEPCIÓN, ANTI DUMPING, GESTIÓN DE COMPRA"</t>
    </r>
  </si>
  <si>
    <t>llegue al puerto del Callao.</t>
  </si>
  <si>
    <t>PESO (KG)</t>
  </si>
  <si>
    <t>CANTIDAD CAJONES</t>
  </si>
  <si>
    <t>RESUMEN DE COTIZACIÓN</t>
  </si>
  <si>
    <t>MONTO TOTAL</t>
  </si>
  <si>
    <t>CALCULO DE TRIBUTOS</t>
  </si>
  <si>
    <t>SIMULACIÓN DEL PRECIO PUESTO EN PERÚ POR PIEZA</t>
  </si>
  <si>
    <t>FECHA:</t>
  </si>
  <si>
    <r>
      <rPr>
        <b/>
        <sz val="14"/>
        <color theme="1"/>
        <rFont val="Calibri Light"/>
        <family val="2"/>
        <scheme val="major"/>
      </rPr>
      <t>*</t>
    </r>
    <r>
      <rPr>
        <sz val="14"/>
        <color theme="1"/>
        <rFont val="Calibri Light"/>
        <family val="2"/>
        <scheme val="major"/>
      </rPr>
      <t>El tipo de cambio referencial usado para la conversión a soles es del 3.80</t>
    </r>
  </si>
  <si>
    <r>
      <rPr>
        <b/>
        <sz val="14"/>
        <color theme="1"/>
        <rFont val="Calibri Light"/>
        <family val="2"/>
        <scheme val="major"/>
      </rPr>
      <t>*</t>
    </r>
    <r>
      <rPr>
        <sz val="14"/>
        <color theme="1"/>
        <rFont val="Calibri Light"/>
        <family val="2"/>
        <scheme val="major"/>
      </rPr>
      <t xml:space="preserve">A nosotros se nos pagan el </t>
    </r>
    <r>
      <rPr>
        <b/>
        <sz val="14"/>
        <color theme="1"/>
        <rFont val="Calibri Light"/>
        <family val="2"/>
        <scheme val="major"/>
      </rPr>
      <t>Servicio de Importación + Impuestos</t>
    </r>
    <r>
      <rPr>
        <sz val="14"/>
        <color theme="1"/>
        <rFont val="Calibri Light"/>
        <family val="2"/>
        <scheme val="major"/>
      </rPr>
      <t xml:space="preserve"> una semana antes de que el contenedor</t>
    </r>
  </si>
  <si>
    <r>
      <rPr>
        <b/>
        <sz val="14"/>
        <color theme="1"/>
        <rFont val="Calibri Light"/>
        <family val="2"/>
        <scheme val="major"/>
      </rPr>
      <t>*</t>
    </r>
    <r>
      <rPr>
        <sz val="14"/>
        <color theme="1"/>
        <rFont val="Calibri Light"/>
        <family val="2"/>
        <scheme val="major"/>
      </rPr>
      <t xml:space="preserve">El cálculo de Impuestos puede variar por parte de </t>
    </r>
    <r>
      <rPr>
        <b/>
        <sz val="14"/>
        <color theme="1"/>
        <rFont val="Calibri Light"/>
        <family val="2"/>
        <scheme val="major"/>
      </rPr>
      <t>Aduanas</t>
    </r>
    <r>
      <rPr>
        <sz val="14"/>
        <color theme="1"/>
        <rFont val="Calibri Light"/>
        <family val="2"/>
        <scheme val="major"/>
      </rPr>
      <t>.</t>
    </r>
  </si>
  <si>
    <r>
      <rPr>
        <b/>
        <sz val="14"/>
        <color theme="1"/>
        <rFont val="Calibri Light"/>
        <family val="2"/>
        <scheme val="major"/>
      </rPr>
      <t>*</t>
    </r>
    <r>
      <rPr>
        <sz val="14"/>
        <color theme="1"/>
        <rFont val="Calibri Light"/>
        <family val="2"/>
        <scheme val="major"/>
      </rPr>
      <t xml:space="preserve">Si la carga ocupa más volumen de lo cotizado, se le tendrá que </t>
    </r>
    <r>
      <rPr>
        <b/>
        <sz val="14"/>
        <color theme="1"/>
        <rFont val="Calibri Light"/>
        <family val="2"/>
        <scheme val="major"/>
      </rPr>
      <t>actualizar</t>
    </r>
    <r>
      <rPr>
        <sz val="14"/>
        <color theme="1"/>
        <rFont val="Calibri Light"/>
        <family val="2"/>
        <scheme val="major"/>
      </rPr>
      <t xml:space="preserve"> su cotización.</t>
    </r>
  </si>
  <si>
    <r>
      <rPr>
        <b/>
        <sz val="14"/>
        <color theme="1"/>
        <rFont val="Calibri Light"/>
        <family val="2"/>
        <scheme val="major"/>
      </rPr>
      <t>*</t>
    </r>
    <r>
      <rPr>
        <sz val="14"/>
        <color theme="1"/>
        <rFont val="Calibri Light"/>
        <family val="2"/>
        <scheme val="major"/>
      </rPr>
      <t>Habrá un costo extra del servicio del *monta cargas* en Lima (aplica para los Pallets)</t>
    </r>
  </si>
  <si>
    <t>CORREO:</t>
  </si>
  <si>
    <t>DNI/RUC:</t>
  </si>
  <si>
    <t>COTIZACION Nº20240000001</t>
  </si>
  <si>
    <t>VALOR CHINA USD</t>
  </si>
  <si>
    <t>VALOR PERU USD</t>
  </si>
  <si>
    <t>VALOR PERU SOLES</t>
  </si>
  <si>
    <t>RESUMEN DE PAGOS DE SERVICIO DE IMPORTACIÓN</t>
  </si>
  <si>
    <t>RESUMEN DE COSTOS UNITARIOS</t>
  </si>
  <si>
    <t>de acogerse a un beneficio arancelario (C.O) o pueda tener perdida en aduanas por informacion incompleta.</t>
  </si>
  <si>
    <t>N PROVEEDOR</t>
  </si>
  <si>
    <t>VOL.  X PROVEEDOR</t>
  </si>
  <si>
    <t>TOTALES</t>
  </si>
  <si>
    <t>BASE DE LAMPARA LED</t>
  </si>
  <si>
    <t>DESCUENTO APLICABLE</t>
  </si>
  <si>
    <t>PRO MUNDO COMEX S.A.C.</t>
  </si>
  <si>
    <t>RUC: 20612452432</t>
  </si>
  <si>
    <t>DESTINATARIO</t>
  </si>
  <si>
    <t>CONCEPTO</t>
  </si>
  <si>
    <t>PROVEEDOR</t>
  </si>
  <si>
    <t>Este es el monto que cancelas a tu proveedor</t>
  </si>
  <si>
    <t>PROBUSINESS</t>
  </si>
  <si>
    <t>Costo por traer tu producto desde China a Lima (nuestro almacén)</t>
  </si>
  <si>
    <t>ADUANAS (IMPUESTOS)</t>
  </si>
  <si>
    <t>Deposito a nuestra cuenta bancaria para pagar impuestos ante Aduanas antes de llegar a puerto (Callao)</t>
  </si>
  <si>
    <t>2.Los productos que tengan un peso mayor o igual a 100 kgs se le realizará el recargo por el uso de montacarga.</t>
  </si>
  <si>
    <t>3.Todas las marcas de los productos deben ser verificadas por el cliente,</t>
  </si>
  <si>
    <t>4. No somos responsables de retraso del proveedor para entregar la carga.</t>
  </si>
  <si>
    <t>5. La carga deberá llegar al almacén –Yiwu en el rango de fecha indicado por su asesor.</t>
  </si>
  <si>
    <t>6.Los pagos realizados fuera de fecha están sujetos a un recargo de S/.30 por día.</t>
  </si>
  <si>
    <t>7.Se procederá a cobrar S/.30 x día de almacenaje si el cliente no recoge su pedido en el plazo acordado.</t>
  </si>
  <si>
    <t>8.Los envíos a provincia se realizan a través de la agencia Marvisur o Shalom, con previo pago de flete interno.</t>
  </si>
  <si>
    <t>10.No hay opción de reembolso.</t>
  </si>
  <si>
    <t>11. Si el cliente quiere cambiar la salida de su carga debera informar 4 día antes de la fecha de cierre.</t>
  </si>
  <si>
    <t>1. La cotización tiene una vida útil de 48 horas hábiles</t>
  </si>
  <si>
    <t>9. Las cargas mayores a 100 kg x bulto tendrán un costo adicional por manipuleo, consultar con el</t>
  </si>
  <si>
    <t>12. El costo por metro cubico incluye: Flete – Ag. Aduana – Costos en destino.</t>
  </si>
  <si>
    <t>13.No se aceptan productos restringido que no cuenten con permiso.</t>
  </si>
  <si>
    <r>
      <t>14.</t>
    </r>
    <r>
      <rPr>
        <sz val="7"/>
        <color theme="1"/>
        <rFont val="Calibri Light"/>
        <family val="2"/>
        <scheme val="major"/>
      </rPr>
      <t xml:space="preserve"> </t>
    </r>
    <r>
      <rPr>
        <sz val="11"/>
        <color theme="1"/>
        <rFont val="Calibri Light"/>
        <family val="2"/>
        <scheme val="major"/>
      </rPr>
      <t>Los documentos de importación deber ser entregados a tiempo, de lo contrario, el participante no tendrá opción</t>
    </r>
  </si>
  <si>
    <t xml:space="preserve">15.En caso el cliente esté importando una carga que no sea legal y la empresa Pro Business se vea perjudicada, </t>
  </si>
  <si>
    <t xml:space="preserve">16.El cliente estará sujeto a pagar mayor el ad- valorem en caso aduanas aplique cambios de partida. </t>
  </si>
  <si>
    <t>17.Si el cliente no paga los tributos o gastos administrativos de su cotización, Pro Business será dueño total de la carga.</t>
  </si>
  <si>
    <t>18.Los ajustes de valor que aplique la aduana serán asumidos por el cliente.</t>
  </si>
  <si>
    <t>19.No somos responsable de las mermas o faltante de la carga (entregamos su pedido tal cual el proveedor envío).</t>
  </si>
  <si>
    <t>20.La fecha de entrega es aproximada, está sujeto a variaciones de linea naviera o aduanas.</t>
  </si>
  <si>
    <t>21.Las mercancías son declaradas a nombre de la empresa Grupo Pro Business.</t>
  </si>
  <si>
    <t>22.Se emitirá comprobante (boleta o Factura) de su importación en base a la estrategia de declaración realizada.</t>
  </si>
  <si>
    <t>23. El cliente tendra un plazo de 24 horas despues de la entrega para presentar algun tipo de reclamo.</t>
  </si>
  <si>
    <t>24. La factura o boleta se emitirá con base al valor CIF de la cotización final.</t>
  </si>
  <si>
    <t>25. Concepto no facturable: Advalorem, Percepción, Anti-Dumping o Gestión de Compra</t>
  </si>
  <si>
    <t>COSTOS FOB</t>
  </si>
  <si>
    <t>ISC</t>
  </si>
  <si>
    <t>CALCULO DE SERVICIO DE IMPORTACIÓN</t>
  </si>
  <si>
    <t>Gravado</t>
  </si>
  <si>
    <t xml:space="preserve">FLETE INTERNACIONAL </t>
  </si>
  <si>
    <t>No gravado</t>
  </si>
  <si>
    <t>COSTOS EN DESTINO</t>
  </si>
  <si>
    <t xml:space="preserve">RECARGOS OPERATIVOS ( QTY PROVEEDORES Y/O ITEMS) </t>
  </si>
  <si>
    <t>SERVICIO DE IMPORTACIÓN</t>
  </si>
  <si>
    <t>VALOR EXW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</si>
</sst>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-&quot;S/&quot;* #,##0.00_-;\-&quot;S/&quot;* #,##0.00_-;_-&quot;S/&quot;* &quot;-&quot;??_-;_-@_-"/>
    <numFmt numFmtId="165" formatCode="_-[$$-409]* #,##0.00_ ;_-[$$-409]* \-#,##0.00\ ;_-[$$-409]* &quot;-&quot;??_ ;_-@_ "/>
    <numFmt numFmtId="166" formatCode="_-[$$-409]* #,##0.000_ ;_-[$$-409]* \-#,##0.000\ ;_-[$$-409]* &quot;-&quot;??_ ;_-@_ "/>
    <numFmt numFmtId="167" formatCode="[$$-409]#,##0"/>
    <numFmt numFmtId="168" formatCode="_-[$$-540A]* #,##0.00_ ;_-[$$-540A]* \-#,##0.00\ ;_-[$$-540A]* &quot;-&quot;??_ ;_-@_ "/>
    <numFmt numFmtId="169" formatCode="#,##0.000\ &quot;m3&quot;"/>
    <numFmt numFmtId="170" formatCode="0.0\ &quot;cm&quot;"/>
    <numFmt numFmtId="171" formatCode="0.0\ &quot;kg&quot;"/>
    <numFmt numFmtId="172" formatCode="_-[$S/-280A]\ * #,##0.00_-;\-[$S/-280A]\ * #,##0.00_-;_-[$S/-280A]\ * &quot;-&quot;??_-;_-@_-"/>
    <numFmt numFmtId="173" formatCode="_-[$$-409]* #,##0.0_ ;_-[$$-409]* \-#,##0.0\ ;_-[$$-409]* &quot;-&quot;??_ ;_-@_ "/>
    <numFmt numFmtId="174" formatCode="0.00\ &quot;x UC&quot;"/>
    <numFmt numFmtId="175" formatCode="\$#,##0.00;\-\$#,##0.00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name val="新細明體"/>
      <family val="1"/>
      <charset val="136"/>
    </font>
    <font>
      <sz val="12"/>
      <name val="宋体"/>
      <charset val="134"/>
    </font>
    <font>
      <sz val="11"/>
      <color theme="0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0"/>
      <name val="Calibri Light"/>
      <family val="2"/>
      <scheme val="major"/>
    </font>
    <font>
      <sz val="11"/>
      <color theme="0"/>
      <name val="Calibri Light"/>
      <family val="2"/>
      <scheme val="major"/>
    </font>
    <font>
      <sz val="8"/>
      <color theme="1"/>
      <name val="Calibri"/>
      <family val="2"/>
      <scheme val="minor"/>
    </font>
    <font>
      <sz val="7"/>
      <color theme="1"/>
      <name val="Calibri Light"/>
      <family val="2"/>
      <scheme val="maj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Arial"/>
      <family val="2"/>
    </font>
    <font>
      <sz val="12"/>
      <color theme="0"/>
      <name val="Arial"/>
      <family val="2"/>
    </font>
    <font>
      <b/>
      <u/>
      <sz val="14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b/>
      <sz val="20"/>
      <color theme="0"/>
      <name val="Arial"/>
      <family val="2"/>
    </font>
    <font>
      <b/>
      <sz val="12"/>
      <color theme="0"/>
      <name val="Arial"/>
      <family val="2"/>
    </font>
    <font>
      <b/>
      <sz val="13"/>
      <color theme="0"/>
      <name val="Arial"/>
      <family val="2"/>
    </font>
    <font>
      <sz val="12"/>
      <name val="宋体"/>
      <family val="3"/>
      <charset val="134"/>
    </font>
    <font>
      <sz val="11"/>
      <name val="Arial"/>
      <family val="2"/>
    </font>
    <font>
      <b/>
      <u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color rgb="FFFF500B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u/>
      <sz val="11"/>
      <color theme="1"/>
      <name val="Calibri Light"/>
      <family val="2"/>
      <scheme val="major"/>
    </font>
    <font>
      <i/>
      <sz val="11"/>
      <color theme="1"/>
      <name val="Calibri Light"/>
      <family val="2"/>
      <scheme val="major"/>
    </font>
    <font>
      <b/>
      <sz val="11"/>
      <color rgb="FFFF0000"/>
      <name val="Calibri Light"/>
      <family val="2"/>
      <scheme val="major"/>
    </font>
    <font>
      <u/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Calibri Light"/>
      <family val="2"/>
      <scheme val="maj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500B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E37C1A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8CBAD"/>
        <bgColor rgb="FF009999"/>
      </patternFill>
    </fill>
    <fill>
      <patternFill patternType="solid">
        <fgColor rgb="FFF8CBAD"/>
        <bgColor rgb="FFFFFFFF"/>
      </patternFill>
    </fill>
    <fill>
      <patternFill patternType="solid">
        <fgColor rgb="FFEDEDED"/>
        <bgColor rgb="FFFFFFFF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/>
  </cellStyleXfs>
  <cellXfs count="21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65" fontId="0" fillId="2" borderId="0" xfId="0" applyNumberFormat="1" applyFill="1"/>
    <xf numFmtId="165" fontId="0" fillId="2" borderId="0" xfId="0" applyNumberFormat="1" applyFill="1" applyAlignment="1">
      <alignment horizontal="center"/>
    </xf>
    <xf numFmtId="0" fontId="0" fillId="2" borderId="1" xfId="0" applyFill="1" applyBorder="1"/>
    <xf numFmtId="165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9" fontId="0" fillId="2" borderId="1" xfId="2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9" fontId="3" fillId="2" borderId="1" xfId="0" applyNumberFormat="1" applyFont="1" applyFill="1" applyBorder="1" applyAlignment="1">
      <alignment horizontal="center"/>
    </xf>
    <xf numFmtId="0" fontId="2" fillId="2" borderId="0" xfId="0" applyFont="1" applyFill="1"/>
    <xf numFmtId="165" fontId="2" fillId="2" borderId="1" xfId="0" applyNumberFormat="1" applyFont="1" applyFill="1" applyBorder="1" applyAlignment="1">
      <alignment horizontal="center"/>
    </xf>
    <xf numFmtId="0" fontId="2" fillId="0" borderId="0" xfId="0" applyFont="1"/>
    <xf numFmtId="165" fontId="2" fillId="2" borderId="1" xfId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3" fillId="3" borderId="1" xfId="0" applyFont="1" applyFill="1" applyBorder="1"/>
    <xf numFmtId="165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5" fontId="1" fillId="3" borderId="1" xfId="1" applyNumberFormat="1" applyFont="1" applyFill="1" applyBorder="1" applyAlignment="1">
      <alignment horizontal="center"/>
    </xf>
    <xf numFmtId="9" fontId="0" fillId="2" borderId="1" xfId="0" applyNumberFormat="1" applyFill="1" applyBorder="1" applyAlignment="1">
      <alignment horizontal="center"/>
    </xf>
    <xf numFmtId="0" fontId="0" fillId="3" borderId="1" xfId="0" applyFill="1" applyBorder="1"/>
    <xf numFmtId="165" fontId="0" fillId="3" borderId="1" xfId="0" applyNumberFormat="1" applyFill="1" applyBorder="1" applyAlignment="1">
      <alignment horizontal="center"/>
    </xf>
    <xf numFmtId="0" fontId="0" fillId="3" borderId="0" xfId="0" applyFill="1"/>
    <xf numFmtId="0" fontId="0" fillId="2" borderId="1" xfId="3" applyNumberFormat="1" applyFont="1" applyFill="1" applyBorder="1" applyAlignment="1">
      <alignment horizontal="center"/>
    </xf>
    <xf numFmtId="164" fontId="0" fillId="2" borderId="1" xfId="1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0" fillId="4" borderId="1" xfId="0" applyFill="1" applyBorder="1"/>
    <xf numFmtId="165" fontId="0" fillId="4" borderId="1" xfId="0" applyNumberFormat="1" applyFill="1" applyBorder="1" applyAlignment="1">
      <alignment horizontal="center"/>
    </xf>
    <xf numFmtId="9" fontId="0" fillId="2" borderId="0" xfId="0" applyNumberFormat="1" applyFill="1"/>
    <xf numFmtId="0" fontId="8" fillId="2" borderId="0" xfId="0" applyFont="1" applyFill="1"/>
    <xf numFmtId="0" fontId="9" fillId="2" borderId="0" xfId="0" applyFont="1" applyFill="1" applyAlignment="1">
      <alignment horizontal="center"/>
    </xf>
    <xf numFmtId="0" fontId="10" fillId="2" borderId="0" xfId="0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12" fillId="5" borderId="0" xfId="0" applyFont="1" applyFill="1" applyAlignment="1">
      <alignment horizontal="center"/>
    </xf>
    <xf numFmtId="167" fontId="8" fillId="2" borderId="0" xfId="0" applyNumberFormat="1" applyFont="1" applyFill="1" applyAlignment="1">
      <alignment horizontal="center"/>
    </xf>
    <xf numFmtId="0" fontId="8" fillId="2" borderId="2" xfId="0" applyFont="1" applyFill="1" applyBorder="1"/>
    <xf numFmtId="0" fontId="8" fillId="2" borderId="2" xfId="0" applyFont="1" applyFill="1" applyBorder="1" applyAlignment="1">
      <alignment horizontal="center"/>
    </xf>
    <xf numFmtId="0" fontId="13" fillId="2" borderId="0" xfId="0" applyFont="1" applyFill="1"/>
    <xf numFmtId="0" fontId="3" fillId="2" borderId="0" xfId="0" applyFont="1" applyFill="1"/>
    <xf numFmtId="0" fontId="15" fillId="2" borderId="0" xfId="0" applyFont="1" applyFill="1"/>
    <xf numFmtId="0" fontId="3" fillId="2" borderId="0" xfId="0" applyFont="1" applyFill="1" applyAlignment="1">
      <alignment horizontal="center"/>
    </xf>
    <xf numFmtId="0" fontId="16" fillId="2" borderId="0" xfId="0" applyFont="1" applyFill="1" applyAlignment="1">
      <alignment vertical="center"/>
    </xf>
    <xf numFmtId="168" fontId="8" fillId="2" borderId="0" xfId="0" applyNumberFormat="1" applyFont="1" applyFill="1" applyAlignment="1">
      <alignment horizontal="center"/>
    </xf>
    <xf numFmtId="168" fontId="8" fillId="2" borderId="2" xfId="0" applyNumberFormat="1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0" fillId="2" borderId="3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68" fontId="3" fillId="2" borderId="1" xfId="0" applyNumberFormat="1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6" borderId="1" xfId="0" applyFill="1" applyBorder="1"/>
    <xf numFmtId="166" fontId="0" fillId="6" borderId="1" xfId="0" applyNumberFormat="1" applyFill="1" applyBorder="1" applyAlignment="1">
      <alignment horizontal="center"/>
    </xf>
    <xf numFmtId="0" fontId="3" fillId="6" borderId="1" xfId="0" applyFont="1" applyFill="1" applyBorder="1"/>
    <xf numFmtId="165" fontId="3" fillId="6" borderId="1" xfId="0" applyNumberFormat="1" applyFont="1" applyFill="1" applyBorder="1" applyAlignment="1">
      <alignment horizontal="center"/>
    </xf>
    <xf numFmtId="0" fontId="12" fillId="5" borderId="0" xfId="0" applyFont="1" applyFill="1" applyAlignment="1">
      <alignment horizontal="left"/>
    </xf>
    <xf numFmtId="0" fontId="8" fillId="2" borderId="1" xfId="0" applyFont="1" applyFill="1" applyBorder="1" applyAlignment="1">
      <alignment horizontal="center"/>
    </xf>
    <xf numFmtId="0" fontId="12" fillId="5" borderId="0" xfId="0" applyFont="1" applyFill="1"/>
    <xf numFmtId="9" fontId="0" fillId="2" borderId="0" xfId="0" applyNumberForma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18" fillId="2" borderId="0" xfId="0" applyFont="1" applyFill="1" applyAlignment="1">
      <alignment horizontal="center"/>
    </xf>
    <xf numFmtId="0" fontId="10" fillId="2" borderId="8" xfId="0" applyFont="1" applyFill="1" applyBorder="1"/>
    <xf numFmtId="0" fontId="8" fillId="2" borderId="7" xfId="0" applyFont="1" applyFill="1" applyBorder="1"/>
    <xf numFmtId="0" fontId="8" fillId="2" borderId="9" xfId="0" applyFont="1" applyFill="1" applyBorder="1"/>
    <xf numFmtId="0" fontId="10" fillId="2" borderId="10" xfId="0" applyFont="1" applyFill="1" applyBorder="1"/>
    <xf numFmtId="0" fontId="10" fillId="2" borderId="12" xfId="0" applyFont="1" applyFill="1" applyBorder="1"/>
    <xf numFmtId="0" fontId="8" fillId="2" borderId="13" xfId="0" applyFont="1" applyFill="1" applyBorder="1"/>
    <xf numFmtId="0" fontId="0" fillId="2" borderId="4" xfId="0" applyFill="1" applyBorder="1" applyAlignment="1">
      <alignment horizontal="center"/>
    </xf>
    <xf numFmtId="0" fontId="3" fillId="2" borderId="0" xfId="0" applyFont="1" applyFill="1" applyAlignment="1">
      <alignment horizontal="right"/>
    </xf>
    <xf numFmtId="2" fontId="18" fillId="2" borderId="0" xfId="0" applyNumberFormat="1" applyFont="1" applyFill="1" applyAlignment="1">
      <alignment horizontal="left"/>
    </xf>
    <xf numFmtId="0" fontId="0" fillId="2" borderId="11" xfId="0" applyFill="1" applyBorder="1"/>
    <xf numFmtId="0" fontId="3" fillId="2" borderId="10" xfId="0" applyFont="1" applyFill="1" applyBorder="1"/>
    <xf numFmtId="174" fontId="0" fillId="2" borderId="2" xfId="0" applyNumberFormat="1" applyFill="1" applyBorder="1" applyAlignment="1">
      <alignment horizontal="center"/>
    </xf>
    <xf numFmtId="0" fontId="0" fillId="2" borderId="0" xfId="0" applyFill="1" applyAlignment="1">
      <alignment vertical="center"/>
    </xf>
    <xf numFmtId="9" fontId="0" fillId="2" borderId="0" xfId="2" applyFont="1" applyFill="1"/>
    <xf numFmtId="0" fontId="11" fillId="7" borderId="0" xfId="0" applyFont="1" applyFill="1" applyAlignment="1">
      <alignment horizontal="left"/>
    </xf>
    <xf numFmtId="0" fontId="7" fillId="7" borderId="0" xfId="0" applyFont="1" applyFill="1" applyAlignment="1">
      <alignment horizontal="center"/>
    </xf>
    <xf numFmtId="170" fontId="8" fillId="8" borderId="0" xfId="0" applyNumberFormat="1" applyFont="1" applyFill="1" applyAlignment="1">
      <alignment horizontal="center"/>
    </xf>
    <xf numFmtId="0" fontId="21" fillId="2" borderId="0" xfId="0" applyFont="1" applyFill="1"/>
    <xf numFmtId="0" fontId="22" fillId="2" borderId="0" xfId="0" applyFont="1" applyFill="1"/>
    <xf numFmtId="173" fontId="18" fillId="2" borderId="0" xfId="0" applyNumberFormat="1" applyFont="1" applyFill="1"/>
    <xf numFmtId="0" fontId="0" fillId="4" borderId="14" xfId="0" applyFill="1" applyBorder="1"/>
    <xf numFmtId="169" fontId="8" fillId="2" borderId="1" xfId="0" applyNumberFormat="1" applyFont="1" applyFill="1" applyBorder="1" applyAlignment="1">
      <alignment horizontal="center"/>
    </xf>
    <xf numFmtId="171" fontId="8" fillId="2" borderId="1" xfId="0" applyNumberFormat="1" applyFont="1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3" fillId="3" borderId="0" xfId="0" applyFont="1" applyFill="1"/>
    <xf numFmtId="0" fontId="10" fillId="2" borderId="0" xfId="0" applyFont="1" applyFill="1" applyAlignment="1">
      <alignment horizontal="left"/>
    </xf>
    <xf numFmtId="0" fontId="10" fillId="2" borderId="0" xfId="0" applyFont="1" applyFill="1" applyAlignment="1">
      <alignment horizontal="left" vertical="center"/>
    </xf>
    <xf numFmtId="0" fontId="24" fillId="10" borderId="6" xfId="0" applyFont="1" applyFill="1" applyBorder="1" applyAlignment="1">
      <alignment horizontal="center" vertical="center"/>
    </xf>
    <xf numFmtId="0" fontId="24" fillId="10" borderId="22" xfId="0" applyFont="1" applyFill="1" applyBorder="1" applyAlignment="1">
      <alignment horizontal="center"/>
    </xf>
    <xf numFmtId="0" fontId="24" fillId="10" borderId="14" xfId="0" applyFont="1" applyFill="1" applyBorder="1" applyAlignment="1">
      <alignment horizontal="center"/>
    </xf>
    <xf numFmtId="0" fontId="24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/>
    </xf>
    <xf numFmtId="0" fontId="29" fillId="0" borderId="1" xfId="13" applyFont="1" applyBorder="1" applyAlignment="1">
      <alignment horizontal="center" vertical="center"/>
    </xf>
    <xf numFmtId="175" fontId="29" fillId="0" borderId="1" xfId="13" applyNumberFormat="1" applyFont="1" applyBorder="1" applyAlignment="1">
      <alignment horizontal="center" vertical="center"/>
    </xf>
    <xf numFmtId="0" fontId="24" fillId="10" borderId="5" xfId="0" applyFont="1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171" fontId="8" fillId="9" borderId="5" xfId="0" applyNumberFormat="1" applyFont="1" applyFill="1" applyBorder="1" applyAlignment="1">
      <alignment horizontal="center"/>
    </xf>
    <xf numFmtId="169" fontId="8" fillId="6" borderId="5" xfId="0" applyNumberFormat="1" applyFont="1" applyFill="1" applyBorder="1" applyAlignment="1">
      <alignment horizontal="center"/>
    </xf>
    <xf numFmtId="0" fontId="3" fillId="2" borderId="1" xfId="0" applyFont="1" applyFill="1" applyBorder="1"/>
    <xf numFmtId="0" fontId="30" fillId="2" borderId="0" xfId="0" applyFont="1" applyFill="1" applyAlignment="1">
      <alignment horizontal="center"/>
    </xf>
    <xf numFmtId="0" fontId="31" fillId="2" borderId="0" xfId="0" applyFont="1" applyFill="1" applyAlignment="1">
      <alignment horizontal="center"/>
    </xf>
    <xf numFmtId="0" fontId="32" fillId="2" borderId="0" xfId="0" applyFont="1" applyFill="1" applyAlignment="1">
      <alignment horizontal="center"/>
    </xf>
    <xf numFmtId="0" fontId="31" fillId="2" borderId="0" xfId="0" applyFont="1" applyFill="1"/>
    <xf numFmtId="165" fontId="30" fillId="2" borderId="7" xfId="0" applyNumberFormat="1" applyFont="1" applyFill="1" applyBorder="1"/>
    <xf numFmtId="0" fontId="32" fillId="2" borderId="0" xfId="0" applyFont="1" applyFill="1" applyAlignment="1">
      <alignment horizontal="right"/>
    </xf>
    <xf numFmtId="2" fontId="30" fillId="2" borderId="0" xfId="0" applyNumberFormat="1" applyFont="1" applyFill="1" applyAlignment="1">
      <alignment horizontal="left"/>
    </xf>
    <xf numFmtId="0" fontId="35" fillId="2" borderId="0" xfId="0" applyFont="1" applyFill="1" applyAlignment="1">
      <alignment horizontal="center"/>
    </xf>
    <xf numFmtId="0" fontId="36" fillId="2" borderId="0" xfId="0" applyFont="1" applyFill="1"/>
    <xf numFmtId="0" fontId="38" fillId="2" borderId="0" xfId="0" applyFont="1" applyFill="1"/>
    <xf numFmtId="0" fontId="39" fillId="13" borderId="0" xfId="0" applyFont="1" applyFill="1" applyAlignment="1">
      <alignment horizontal="left"/>
    </xf>
    <xf numFmtId="0" fontId="39" fillId="13" borderId="0" xfId="0" applyFont="1" applyFill="1"/>
    <xf numFmtId="0" fontId="0" fillId="13" borderId="0" xfId="0" applyFill="1"/>
    <xf numFmtId="168" fontId="39" fillId="13" borderId="0" xfId="0" applyNumberFormat="1" applyFont="1" applyFill="1" applyAlignment="1">
      <alignment horizontal="center"/>
    </xf>
    <xf numFmtId="0" fontId="39" fillId="13" borderId="0" xfId="0" applyFont="1" applyFill="1" applyAlignment="1">
      <alignment horizontal="center"/>
    </xf>
    <xf numFmtId="9" fontId="0" fillId="13" borderId="0" xfId="0" applyNumberFormat="1" applyFill="1" applyAlignment="1">
      <alignment horizontal="center"/>
    </xf>
    <xf numFmtId="0" fontId="0" fillId="14" borderId="0" xfId="0" applyFill="1"/>
    <xf numFmtId="0" fontId="41" fillId="15" borderId="0" xfId="0" applyFont="1" applyFill="1"/>
    <xf numFmtId="0" fontId="41" fillId="16" borderId="0" xfId="0" applyFont="1" applyFill="1"/>
    <xf numFmtId="0" fontId="40" fillId="15" borderId="0" xfId="0" applyFont="1" applyFill="1" applyAlignment="1">
      <alignment horizontal="center"/>
    </xf>
    <xf numFmtId="0" fontId="39" fillId="0" borderId="0" xfId="0" applyFont="1"/>
    <xf numFmtId="0" fontId="42" fillId="0" borderId="0" xfId="0" applyFont="1"/>
    <xf numFmtId="0" fontId="39" fillId="13" borderId="0" xfId="0" quotePrefix="1" applyFont="1" applyFill="1" applyAlignment="1">
      <alignment horizontal="center"/>
    </xf>
    <xf numFmtId="0" fontId="39" fillId="0" borderId="26" xfId="0" applyFont="1" applyBorder="1"/>
    <xf numFmtId="0" fontId="39" fillId="13" borderId="26" xfId="0" quotePrefix="1" applyFont="1" applyFill="1" applyBorder="1" applyAlignment="1">
      <alignment horizontal="center"/>
    </xf>
    <xf numFmtId="168" fontId="39" fillId="13" borderId="26" xfId="0" applyNumberFormat="1" applyFont="1" applyFill="1" applyBorder="1" applyAlignment="1">
      <alignment horizontal="center"/>
    </xf>
    <xf numFmtId="0" fontId="39" fillId="13" borderId="26" xfId="0" applyFont="1" applyFill="1" applyBorder="1" applyAlignment="1">
      <alignment horizontal="center"/>
    </xf>
    <xf numFmtId="0" fontId="43" fillId="0" borderId="0" xfId="0" applyFont="1"/>
    <xf numFmtId="0" fontId="43" fillId="13" borderId="0" xfId="0" quotePrefix="1" applyFont="1" applyFill="1" applyAlignment="1">
      <alignment horizontal="center"/>
    </xf>
    <xf numFmtId="168" fontId="43" fillId="13" borderId="0" xfId="0" applyNumberFormat="1" applyFont="1" applyFill="1" applyAlignment="1">
      <alignment horizontal="center"/>
    </xf>
    <xf numFmtId="0" fontId="43" fillId="13" borderId="0" xfId="0" applyFont="1" applyFill="1" applyAlignment="1">
      <alignment horizontal="center"/>
    </xf>
    <xf numFmtId="0" fontId="0" fillId="0" borderId="26" xfId="0" applyBorder="1"/>
    <xf numFmtId="0" fontId="43" fillId="0" borderId="26" xfId="0" applyFont="1" applyBorder="1"/>
    <xf numFmtId="0" fontId="43" fillId="13" borderId="26" xfId="0" quotePrefix="1" applyFont="1" applyFill="1" applyBorder="1" applyAlignment="1">
      <alignment horizontal="center"/>
    </xf>
    <xf numFmtId="168" fontId="44" fillId="13" borderId="26" xfId="0" applyNumberFormat="1" applyFont="1" applyFill="1" applyBorder="1" applyAlignment="1">
      <alignment horizontal="center"/>
    </xf>
    <xf numFmtId="0" fontId="44" fillId="13" borderId="26" xfId="0" applyFont="1" applyFill="1" applyBorder="1" applyAlignment="1">
      <alignment horizontal="center"/>
    </xf>
    <xf numFmtId="168" fontId="44" fillId="13" borderId="0" xfId="0" applyNumberFormat="1" applyFont="1" applyFill="1" applyAlignment="1">
      <alignment horizontal="center"/>
    </xf>
    <xf numFmtId="0" fontId="44" fillId="13" borderId="0" xfId="0" applyFont="1" applyFill="1" applyAlignment="1">
      <alignment horizontal="center"/>
    </xf>
    <xf numFmtId="0" fontId="43" fillId="17" borderId="0" xfId="0" applyFont="1" applyFill="1"/>
    <xf numFmtId="168" fontId="43" fillId="17" borderId="0" xfId="0" applyNumberFormat="1" applyFont="1" applyFill="1" applyAlignment="1">
      <alignment horizontal="center"/>
    </xf>
    <xf numFmtId="0" fontId="43" fillId="17" borderId="0" xfId="0" applyFont="1" applyFill="1" applyAlignment="1">
      <alignment horizontal="center"/>
    </xf>
    <xf numFmtId="0" fontId="46" fillId="13" borderId="28" xfId="0" applyFont="1" applyFill="1" applyBorder="1"/>
    <xf numFmtId="165" fontId="0" fillId="2" borderId="1" xfId="3" applyNumberFormat="1" applyFont="1" applyFill="1" applyBorder="1" applyAlignment="1">
      <alignment horizontal="center"/>
    </xf>
    <xf numFmtId="0" fontId="46" fillId="13" borderId="0" xfId="0" applyFont="1" applyFill="1" applyAlignment="1">
      <alignment horizontal="center"/>
    </xf>
    <xf numFmtId="9" fontId="46" fillId="13" borderId="29" xfId="0" applyNumberFormat="1" applyFont="1" applyFill="1" applyBorder="1" applyAlignment="1">
      <alignment horizontal="center"/>
    </xf>
    <xf numFmtId="0" fontId="0" fillId="13" borderId="0" xfId="0" applyFill="1" applyAlignment="1">
      <alignment horizontal="center"/>
    </xf>
    <xf numFmtId="0" fontId="46" fillId="16" borderId="28" xfId="0" applyFont="1" applyFill="1" applyBorder="1"/>
    <xf numFmtId="165" fontId="0" fillId="13" borderId="28" xfId="0" applyNumberFormat="1" applyFill="1" applyBorder="1" applyAlignment="1">
      <alignment horizontal="center"/>
    </xf>
    <xf numFmtId="9" fontId="46" fillId="13" borderId="0" xfId="0" applyNumberFormat="1" applyFont="1" applyFill="1" applyAlignment="1">
      <alignment horizontal="center"/>
    </xf>
    <xf numFmtId="165" fontId="0" fillId="13" borderId="0" xfId="0" applyNumberFormat="1" applyFill="1" applyAlignment="1">
      <alignment horizontal="center"/>
    </xf>
    <xf numFmtId="165" fontId="46" fillId="13" borderId="0" xfId="0" applyNumberFormat="1" applyFont="1" applyFill="1" applyAlignment="1">
      <alignment horizontal="center"/>
    </xf>
    <xf numFmtId="165" fontId="0" fillId="13" borderId="30" xfId="0" applyNumberFormat="1" applyFill="1" applyBorder="1" applyAlignment="1">
      <alignment horizontal="center"/>
    </xf>
    <xf numFmtId="0" fontId="34" fillId="2" borderId="0" xfId="0" applyFont="1" applyFill="1" applyAlignment="1">
      <alignment horizontal="center"/>
    </xf>
    <xf numFmtId="0" fontId="33" fillId="2" borderId="0" xfId="0" applyFont="1" applyFill="1" applyAlignment="1">
      <alignment horizontal="center"/>
    </xf>
    <xf numFmtId="14" fontId="8" fillId="2" borderId="0" xfId="0" applyNumberFormat="1" applyFont="1" applyFill="1" applyAlignment="1">
      <alignment horizontal="left"/>
    </xf>
    <xf numFmtId="14" fontId="8" fillId="2" borderId="11" xfId="0" applyNumberFormat="1" applyFont="1" applyFill="1" applyBorder="1" applyAlignment="1">
      <alignment horizontal="left"/>
    </xf>
    <xf numFmtId="172" fontId="26" fillId="11" borderId="18" xfId="0" applyNumberFormat="1" applyFont="1" applyFill="1" applyBorder="1" applyAlignment="1">
      <alignment horizontal="center" vertical="center" wrapText="1"/>
    </xf>
    <xf numFmtId="172" fontId="26" fillId="11" borderId="19" xfId="0" applyNumberFormat="1" applyFont="1" applyFill="1" applyBorder="1" applyAlignment="1">
      <alignment horizontal="center" vertical="center" wrapText="1"/>
    </xf>
    <xf numFmtId="0" fontId="25" fillId="11" borderId="1" xfId="0" applyFont="1" applyFill="1" applyBorder="1" applyAlignment="1">
      <alignment horizontal="center" vertical="center"/>
    </xf>
    <xf numFmtId="0" fontId="25" fillId="11" borderId="15" xfId="0" applyFont="1" applyFill="1" applyBorder="1" applyAlignment="1">
      <alignment horizontal="center" vertical="center"/>
    </xf>
    <xf numFmtId="172" fontId="26" fillId="11" borderId="0" xfId="0" applyNumberFormat="1" applyFont="1" applyFill="1" applyAlignment="1">
      <alignment horizontal="center" vertical="center" wrapText="1"/>
    </xf>
    <xf numFmtId="172" fontId="26" fillId="11" borderId="2" xfId="0" applyNumberFormat="1" applyFont="1" applyFill="1" applyBorder="1" applyAlignment="1">
      <alignment horizontal="center" vertical="center" wrapText="1"/>
    </xf>
    <xf numFmtId="172" fontId="26" fillId="11" borderId="20" xfId="0" applyNumberFormat="1" applyFont="1" applyFill="1" applyBorder="1" applyAlignment="1">
      <alignment horizontal="center" vertical="center" wrapText="1"/>
    </xf>
    <xf numFmtId="172" fontId="26" fillId="11" borderId="21" xfId="0" applyNumberFormat="1" applyFont="1" applyFill="1" applyBorder="1" applyAlignment="1">
      <alignment horizontal="center" vertical="center" wrapText="1"/>
    </xf>
    <xf numFmtId="172" fontId="26" fillId="11" borderId="16" xfId="0" applyNumberFormat="1" applyFont="1" applyFill="1" applyBorder="1" applyAlignment="1">
      <alignment horizontal="center" vertical="center" wrapText="1"/>
    </xf>
    <xf numFmtId="172" fontId="26" fillId="11" borderId="17" xfId="0" applyNumberFormat="1" applyFont="1" applyFill="1" applyBorder="1" applyAlignment="1">
      <alignment horizontal="center" vertical="center" wrapText="1"/>
    </xf>
    <xf numFmtId="172" fontId="26" fillId="11" borderId="10" xfId="0" applyNumberFormat="1" applyFont="1" applyFill="1" applyBorder="1" applyAlignment="1">
      <alignment horizontal="center" vertical="center"/>
    </xf>
    <xf numFmtId="172" fontId="26" fillId="11" borderId="1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169" fontId="8" fillId="8" borderId="0" xfId="0" applyNumberFormat="1" applyFont="1" applyFill="1" applyAlignment="1">
      <alignment horizontal="center"/>
    </xf>
    <xf numFmtId="0" fontId="19" fillId="5" borderId="0" xfId="0" applyFont="1" applyFill="1" applyAlignment="1">
      <alignment horizontal="left"/>
    </xf>
    <xf numFmtId="0" fontId="8" fillId="8" borderId="0" xfId="0" applyFont="1" applyFill="1" applyAlignment="1">
      <alignment horizontal="center"/>
    </xf>
    <xf numFmtId="171" fontId="8" fillId="8" borderId="0" xfId="0" applyNumberFormat="1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8" fillId="2" borderId="2" xfId="0" applyFont="1" applyFill="1" applyBorder="1" applyAlignment="1">
      <alignment horizontal="left"/>
    </xf>
    <xf numFmtId="0" fontId="8" fillId="2" borderId="0" xfId="0" applyFont="1" applyFill="1" applyAlignment="1">
      <alignment horizontal="left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1" fillId="5" borderId="6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center"/>
    </xf>
    <xf numFmtId="0" fontId="11" fillId="5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0" fillId="7" borderId="27" xfId="0" applyFont="1" applyFill="1" applyBorder="1" applyAlignment="1">
      <alignment horizontal="left"/>
    </xf>
    <xf numFmtId="172" fontId="7" fillId="5" borderId="1" xfId="0" applyNumberFormat="1" applyFont="1" applyFill="1" applyBorder="1" applyAlignment="1">
      <alignment horizontal="center"/>
    </xf>
    <xf numFmtId="0" fontId="40" fillId="15" borderId="0" xfId="0" applyFont="1" applyFill="1" applyAlignment="1">
      <alignment horizontal="left"/>
    </xf>
    <xf numFmtId="0" fontId="40" fillId="16" borderId="0" xfId="0" applyFont="1" applyFill="1"/>
    <xf numFmtId="0" fontId="45" fillId="17" borderId="0" xfId="0" applyFont="1" applyFill="1"/>
    <xf numFmtId="0" fontId="43" fillId="17" borderId="0" xfId="0" applyFont="1" applyFill="1"/>
    <xf numFmtId="168" fontId="8" fillId="2" borderId="1" xfId="0" applyNumberFormat="1" applyFont="1" applyFill="1" applyBorder="1" applyAlignment="1">
      <alignment horizontal="center" vertical="center"/>
    </xf>
    <xf numFmtId="0" fontId="27" fillId="12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/>
    </xf>
    <xf numFmtId="0" fontId="3" fillId="3" borderId="24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3" borderId="0" xfId="0" applyFont="1" applyFill="1" applyAlignment="1">
      <alignment horizontal="left"/>
    </xf>
    <xf numFmtId="165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4" fillId="3" borderId="0" xfId="0" applyFont="1" applyFill="1" applyAlignment="1">
      <alignment horizontal="left"/>
    </xf>
    <xf numFmtId="0" fontId="37" fillId="2" borderId="12" xfId="0" applyFont="1" applyFill="1" applyBorder="1" applyAlignment="1">
      <alignment horizontal="center" vertical="center"/>
    </xf>
    <xf numFmtId="0" fontId="8" fillId="2" borderId="0" xfId="0" applyFont="1" applyFill="1" applyBorder="1"/>
    <xf numFmtId="0" fontId="37" fillId="2" borderId="8" xfId="0" applyFont="1" applyFill="1" applyBorder="1" applyAlignment="1">
      <alignment horizontal="center" vertical="center"/>
    </xf>
    <xf numFmtId="0" fontId="37" fillId="2" borderId="7" xfId="0" applyFont="1" applyFill="1" applyBorder="1" applyAlignment="1">
      <alignment horizontal="center" vertical="center"/>
    </xf>
    <xf numFmtId="0" fontId="37" fillId="2" borderId="2" xfId="0" applyFont="1" applyFill="1" applyBorder="1" applyAlignment="1">
      <alignment horizontal="center" vertical="center"/>
    </xf>
    <xf numFmtId="0" fontId="37" fillId="2" borderId="8" xfId="0" applyFont="1" applyFill="1" applyBorder="1" applyAlignment="1">
      <alignment horizontal="center" vertical="center" wrapText="1"/>
    </xf>
    <xf numFmtId="0" fontId="37" fillId="2" borderId="7" xfId="0" applyFont="1" applyFill="1" applyBorder="1" applyAlignment="1">
      <alignment horizontal="center" vertical="center" wrapText="1"/>
    </xf>
    <xf numFmtId="0" fontId="37" fillId="2" borderId="12" xfId="0" applyFont="1" applyFill="1" applyBorder="1" applyAlignment="1">
      <alignment horizontal="center" vertical="center" wrapText="1"/>
    </xf>
    <xf numFmtId="0" fontId="37" fillId="2" borderId="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left"/>
    </xf>
    <xf numFmtId="0" fontId="0" fillId="2" borderId="10" xfId="0" applyFill="1" applyBorder="1" applyAlignment="1">
      <alignment horizontal="left" vertical="center" wrapText="1"/>
    </xf>
  </cellXfs>
  <cellStyles count="14">
    <cellStyle name="Millares" xfId="3" builtinId="3"/>
    <cellStyle name="Moneda" xfId="1" builtinId="4"/>
    <cellStyle name="Normal" xfId="0" builtinId="0"/>
    <cellStyle name="Normal 2" xfId="4" xr:uid="{00000000-0005-0000-0000-000003000000}"/>
    <cellStyle name="Normal 3" xfId="7" xr:uid="{00000000-0005-0000-0000-000004000000}"/>
    <cellStyle name="Normal 4" xfId="8" xr:uid="{00000000-0005-0000-0000-000005000000}"/>
    <cellStyle name="Normal 5" xfId="9" xr:uid="{00000000-0005-0000-0000-000006000000}"/>
    <cellStyle name="Normal 6" xfId="10" xr:uid="{00000000-0005-0000-0000-000007000000}"/>
    <cellStyle name="Normal 7" xfId="11" xr:uid="{00000000-0005-0000-0000-000008000000}"/>
    <cellStyle name="Normal 8" xfId="12" xr:uid="{00000000-0005-0000-0000-000009000000}"/>
    <cellStyle name="Porcentaje" xfId="2" builtinId="5"/>
    <cellStyle name="常规 2" xfId="6" xr:uid="{00000000-0005-0000-0000-00000B000000}"/>
    <cellStyle name="常规 3" xfId="13" xr:uid="{92161FD9-0594-4A7B-B8BF-54BFC5C6EEFB}"/>
    <cellStyle name="常规_Sales C0ntract" xfId="5" xr:uid="{00000000-0005-0000-0000-00000C000000}"/>
  </cellStyles>
  <dxfs count="0"/>
  <tableStyles count="0" defaultTableStyle="TableStyleMedium2" defaultPivotStyle="PivotStyleLight16"/>
  <colors>
    <mruColors>
      <color rgb="FFFF500B"/>
      <color rgb="FFDD7105"/>
      <color rgb="FFE37C1A"/>
      <color rgb="FFC87700"/>
      <color rgb="FFFF9900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65</xdr:row>
      <xdr:rowOff>147864</xdr:rowOff>
    </xdr:from>
    <xdr:to>
      <xdr:col>1</xdr:col>
      <xdr:colOff>299357</xdr:colOff>
      <xdr:row>67</xdr:row>
      <xdr:rowOff>27214</xdr:rowOff>
    </xdr:to>
    <xdr:sp macro="" textlink="">
      <xdr:nvSpPr>
        <xdr:cNvPr id="9" name="Rectángulo: esquinas redondeadas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7150" y="11986078"/>
          <a:ext cx="963386" cy="260350"/>
        </a:xfrm>
        <a:prstGeom prst="roundRect">
          <a:avLst/>
        </a:prstGeom>
        <a:solidFill>
          <a:srgbClr val="009999"/>
        </a:solidFill>
        <a:ln>
          <a:solidFill>
            <a:srgbClr val="00999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900" b="1"/>
        </a:p>
      </xdr:txBody>
    </xdr:sp>
    <xdr:clientData/>
  </xdr:twoCellAnchor>
  <xdr:twoCellAnchor>
    <xdr:from>
      <xdr:col>0</xdr:col>
      <xdr:colOff>7258</xdr:colOff>
      <xdr:row>65</xdr:row>
      <xdr:rowOff>139247</xdr:rowOff>
    </xdr:from>
    <xdr:to>
      <xdr:col>1</xdr:col>
      <xdr:colOff>503464</xdr:colOff>
      <xdr:row>67</xdr:row>
      <xdr:rowOff>40822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7258" y="11977461"/>
          <a:ext cx="1217385" cy="282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>
              <a:solidFill>
                <a:schemeClr val="bg1"/>
              </a:solidFill>
              <a:latin typeface="Bahnschrift" panose="020B0502040204020203" pitchFamily="34" charset="0"/>
            </a:rPr>
            <a:t>DEL</a:t>
          </a:r>
          <a:r>
            <a:rPr lang="es-PE" sz="1200" baseline="0">
              <a:solidFill>
                <a:schemeClr val="bg1"/>
              </a:solidFill>
              <a:latin typeface="Bahnschrift" panose="020B0502040204020203" pitchFamily="34" charset="0"/>
            </a:rPr>
            <a:t> CLIENTE</a:t>
          </a:r>
          <a:endParaRPr lang="es-PE" sz="1200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0</xdr:col>
      <xdr:colOff>51938</xdr:colOff>
      <xdr:row>82</xdr:row>
      <xdr:rowOff>147864</xdr:rowOff>
    </xdr:from>
    <xdr:to>
      <xdr:col>2</xdr:col>
      <xdr:colOff>161126</xdr:colOff>
      <xdr:row>84</xdr:row>
      <xdr:rowOff>27214</xdr:rowOff>
    </xdr:to>
    <xdr:sp macro="" textlink="">
      <xdr:nvSpPr>
        <xdr:cNvPr id="13" name="Rectángulo: esquinas redondeadas 5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1938" y="14272078"/>
          <a:ext cx="1551545" cy="260350"/>
        </a:xfrm>
        <a:prstGeom prst="roundRect">
          <a:avLst/>
        </a:prstGeom>
        <a:solidFill>
          <a:srgbClr val="009999"/>
        </a:solidFill>
        <a:ln>
          <a:solidFill>
            <a:srgbClr val="00999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900" b="1"/>
        </a:p>
      </xdr:txBody>
    </xdr:sp>
    <xdr:clientData/>
  </xdr:twoCellAnchor>
  <xdr:twoCellAnchor>
    <xdr:from>
      <xdr:col>0</xdr:col>
      <xdr:colOff>20865</xdr:colOff>
      <xdr:row>82</xdr:row>
      <xdr:rowOff>139247</xdr:rowOff>
    </xdr:from>
    <xdr:to>
      <xdr:col>2</xdr:col>
      <xdr:colOff>258536</xdr:colOff>
      <xdr:row>84</xdr:row>
      <xdr:rowOff>108857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20865" y="14263461"/>
          <a:ext cx="1680028" cy="3506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>
              <a:solidFill>
                <a:schemeClr val="bg1"/>
              </a:solidFill>
              <a:latin typeface="Bahnschrift" panose="020B0502040204020203" pitchFamily="34" charset="0"/>
            </a:rPr>
            <a:t>DE LA IMPORTACIÓN</a:t>
          </a:r>
        </a:p>
      </xdr:txBody>
    </xdr:sp>
    <xdr:clientData/>
  </xdr:twoCellAnchor>
  <xdr:twoCellAnchor>
    <xdr:from>
      <xdr:col>0</xdr:col>
      <xdr:colOff>68035</xdr:colOff>
      <xdr:row>96</xdr:row>
      <xdr:rowOff>147864</xdr:rowOff>
    </xdr:from>
    <xdr:to>
      <xdr:col>1</xdr:col>
      <xdr:colOff>629124</xdr:colOff>
      <xdr:row>98</xdr:row>
      <xdr:rowOff>27214</xdr:rowOff>
    </xdr:to>
    <xdr:sp macro="" textlink="">
      <xdr:nvSpPr>
        <xdr:cNvPr id="15" name="Rectángulo: esquinas redondeadas 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68035" y="16558078"/>
          <a:ext cx="1282268" cy="260350"/>
        </a:xfrm>
        <a:prstGeom prst="roundRect">
          <a:avLst/>
        </a:prstGeom>
        <a:solidFill>
          <a:srgbClr val="009999"/>
        </a:solidFill>
        <a:ln>
          <a:solidFill>
            <a:srgbClr val="00999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900" b="1"/>
        </a:p>
      </xdr:txBody>
    </xdr:sp>
    <xdr:clientData/>
  </xdr:twoCellAnchor>
  <xdr:twoCellAnchor>
    <xdr:from>
      <xdr:col>0</xdr:col>
      <xdr:colOff>48080</xdr:colOff>
      <xdr:row>96</xdr:row>
      <xdr:rowOff>139248</xdr:rowOff>
    </xdr:from>
    <xdr:to>
      <xdr:col>2</xdr:col>
      <xdr:colOff>462643</xdr:colOff>
      <xdr:row>98</xdr:row>
      <xdr:rowOff>54430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8080" y="16549462"/>
          <a:ext cx="1856920" cy="2961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>
              <a:solidFill>
                <a:schemeClr val="bg1"/>
              </a:solidFill>
              <a:latin typeface="Bahnschrift" panose="020B0502040204020203" pitchFamily="34" charset="0"/>
            </a:rPr>
            <a:t>DE</a:t>
          </a:r>
          <a:r>
            <a:rPr lang="es-PE" sz="1200" baseline="0">
              <a:solidFill>
                <a:schemeClr val="bg1"/>
              </a:solidFill>
              <a:latin typeface="Bahnschrift" panose="020B0502040204020203" pitchFamily="34" charset="0"/>
            </a:rPr>
            <a:t> LA EMPRESA</a:t>
          </a:r>
          <a:r>
            <a:rPr lang="es-PE" sz="11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   </a:t>
          </a:r>
          <a:r>
            <a:rPr lang="es-PE" sz="1200">
              <a:solidFill>
                <a:schemeClr val="bg1"/>
              </a:solidFill>
            </a:rPr>
            <a:t> </a:t>
          </a:r>
          <a:r>
            <a:rPr lang="es-PE" sz="11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PE" sz="1200">
              <a:solidFill>
                <a:schemeClr val="bg1"/>
              </a:solidFill>
            </a:rPr>
            <a:t> </a:t>
          </a:r>
          <a:r>
            <a:rPr lang="es-PE" sz="11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PE" sz="1200">
              <a:solidFill>
                <a:schemeClr val="bg1"/>
              </a:solidFill>
            </a:rPr>
            <a:t> </a:t>
          </a:r>
          <a:r>
            <a:rPr lang="es-PE" sz="11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PE" sz="1200">
              <a:solidFill>
                <a:schemeClr val="bg1"/>
              </a:solidFill>
            </a:rPr>
            <a:t> </a:t>
          </a:r>
          <a:r>
            <a:rPr lang="es-PE" sz="11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PE" sz="1200">
              <a:solidFill>
                <a:schemeClr val="bg1"/>
              </a:solidFill>
            </a:rPr>
            <a:t> </a:t>
          </a:r>
          <a:r>
            <a:rPr lang="es-PE" sz="11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s-PE" sz="1200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3</xdr:col>
      <xdr:colOff>607219</xdr:colOff>
      <xdr:row>58</xdr:row>
      <xdr:rowOff>59531</xdr:rowOff>
    </xdr:from>
    <xdr:to>
      <xdr:col>9</xdr:col>
      <xdr:colOff>218434</xdr:colOff>
      <xdr:row>63</xdr:row>
      <xdr:rowOff>94305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290094" y="10568781"/>
          <a:ext cx="3437090" cy="1082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2000" b="1">
              <a:solidFill>
                <a:sysClr val="windowText" lastClr="000000"/>
              </a:solidFill>
            </a:rPr>
            <a:t>PRO MUNDO COMEX S.A.C.</a:t>
          </a:r>
          <a:br>
            <a:rPr lang="es-PE" sz="2000" b="1">
              <a:solidFill>
                <a:sysClr val="windowText" lastClr="000000"/>
              </a:solidFill>
            </a:rPr>
          </a:br>
          <a:r>
            <a:rPr lang="es-PE" sz="2000" b="1">
              <a:solidFill>
                <a:srgbClr val="FF500B"/>
              </a:solidFill>
            </a:rPr>
            <a:t>RUC: 20612452432</a:t>
          </a:r>
          <a:endParaRPr lang="es-PE" sz="2000" b="0">
            <a:solidFill>
              <a:srgbClr val="FF500B"/>
            </a:solidFill>
          </a:endParaRPr>
        </a:p>
      </xdr:txBody>
    </xdr:sp>
    <xdr:clientData/>
  </xdr:twoCellAnchor>
  <xdr:twoCellAnchor editAs="oneCell">
    <xdr:from>
      <xdr:col>1</xdr:col>
      <xdr:colOff>813593</xdr:colOff>
      <xdr:row>57</xdr:row>
      <xdr:rowOff>174625</xdr:rowOff>
    </xdr:from>
    <xdr:to>
      <xdr:col>2</xdr:col>
      <xdr:colOff>119066</xdr:colOff>
      <xdr:row>63</xdr:row>
      <xdr:rowOff>130195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0593" y="10493375"/>
          <a:ext cx="1220223" cy="1193819"/>
        </a:xfrm>
        <a:prstGeom prst="rect">
          <a:avLst/>
        </a:prstGeom>
      </xdr:spPr>
    </xdr:pic>
    <xdr:clientData/>
  </xdr:twoCellAnchor>
  <xdr:twoCellAnchor editAs="oneCell">
    <xdr:from>
      <xdr:col>1</xdr:col>
      <xdr:colOff>119783</xdr:colOff>
      <xdr:row>0</xdr:row>
      <xdr:rowOff>173182</xdr:rowOff>
    </xdr:from>
    <xdr:to>
      <xdr:col>1</xdr:col>
      <xdr:colOff>1337841</xdr:colOff>
      <xdr:row>5</xdr:row>
      <xdr:rowOff>172046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306" y="173182"/>
          <a:ext cx="1218058" cy="1202478"/>
        </a:xfrm>
        <a:prstGeom prst="rect">
          <a:avLst/>
        </a:prstGeom>
      </xdr:spPr>
    </xdr:pic>
    <xdr:clientData/>
  </xdr:twoCellAnchor>
  <xdr:twoCellAnchor editAs="oneCell">
    <xdr:from>
      <xdr:col>0</xdr:col>
      <xdr:colOff>89648</xdr:colOff>
      <xdr:row>65</xdr:row>
      <xdr:rowOff>45463</xdr:rowOff>
    </xdr:from>
    <xdr:to>
      <xdr:col>8</xdr:col>
      <xdr:colOff>329269</xdr:colOff>
      <xdr:row>97</xdr:row>
      <xdr:rowOff>219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alphaModFix amt="1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b="9411"/>
        <a:stretch/>
      </xdr:blipFill>
      <xdr:spPr>
        <a:xfrm>
          <a:off x="89648" y="11654757"/>
          <a:ext cx="6716621" cy="6050756"/>
        </a:xfrm>
        <a:prstGeom prst="rect">
          <a:avLst/>
        </a:prstGeom>
      </xdr:spPr>
    </xdr:pic>
    <xdr:clientData/>
  </xdr:twoCellAnchor>
  <xdr:twoCellAnchor editAs="oneCell">
    <xdr:from>
      <xdr:col>0</xdr:col>
      <xdr:colOff>809977</xdr:colOff>
      <xdr:row>105</xdr:row>
      <xdr:rowOff>166510</xdr:rowOff>
    </xdr:from>
    <xdr:to>
      <xdr:col>5</xdr:col>
      <xdr:colOff>280511</xdr:colOff>
      <xdr:row>120</xdr:row>
      <xdr:rowOff>177800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9977" y="26379310"/>
          <a:ext cx="4954599" cy="30592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S118"/>
  <sheetViews>
    <sheetView showGridLines="0" tabSelected="1" topLeftCell="A29" zoomScale="70" zoomScaleNormal="70" zoomScaleSheetLayoutView="80" workbookViewId="0">
      <selection activeCell="P53" sqref="P53:S54"/>
    </sheetView>
  </sheetViews>
  <sheetFormatPr baseColWidth="10" defaultColWidth="10.88671875" defaultRowHeight="14.4"/>
  <cols>
    <col min="1" max="1" width="13.88671875" style="1" customWidth="1"/>
    <col min="2" max="2" width="28.33203125" style="1" bestFit="1" customWidth="1"/>
    <col min="3" max="3" width="4.33203125" style="1" customWidth="1"/>
    <col min="4" max="4" width="13.44140625" style="1" bestFit="1" customWidth="1"/>
    <col min="5" max="5" width="10.88671875" style="1" customWidth="1"/>
    <col min="6" max="6" width="12" style="1" customWidth="1"/>
    <col min="7" max="7" width="4" style="1" customWidth="1"/>
    <col min="8" max="8" width="10.44140625" style="1" bestFit="1" customWidth="1"/>
    <col min="9" max="9" width="13.6640625" style="1" customWidth="1"/>
    <col min="10" max="10" width="11.33203125" style="1" bestFit="1" customWidth="1"/>
    <col min="11" max="11" width="11.44140625" style="1" customWidth="1"/>
    <col min="12" max="12" width="7.109375" style="1" customWidth="1"/>
    <col min="13" max="13" width="14.5546875" style="1" customWidth="1"/>
    <col min="14" max="14" width="25.33203125" style="1" bestFit="1" customWidth="1"/>
    <col min="15" max="15" width="27.6640625" style="1" bestFit="1" customWidth="1"/>
    <col min="16" max="16" width="19.88671875" style="1" customWidth="1"/>
    <col min="17" max="17" width="20.109375" style="1" customWidth="1"/>
    <col min="18" max="18" width="11.44140625" style="1" customWidth="1"/>
    <col min="19" max="19" width="30.44140625" style="1" customWidth="1"/>
    <col min="20" max="20" width="11.44140625" style="1" customWidth="1"/>
    <col min="21" max="16384" width="10.88671875" style="1"/>
  </cols>
  <sheetData>
    <row r="1" spans="1:17" ht="18.75" customHeight="1"/>
    <row r="2" spans="1:17" ht="18.75" customHeight="1"/>
    <row r="3" spans="1:17">
      <c r="C3" s="155" t="s">
        <v>94</v>
      </c>
      <c r="D3" s="155"/>
      <c r="E3" s="155"/>
      <c r="F3" s="155"/>
      <c r="G3" s="155"/>
    </row>
    <row r="4" spans="1:17">
      <c r="C4" s="155"/>
      <c r="D4" s="155"/>
      <c r="E4" s="155"/>
      <c r="F4" s="155"/>
      <c r="G4" s="155"/>
    </row>
    <row r="5" spans="1:17" ht="25.8">
      <c r="C5" s="156" t="s">
        <v>95</v>
      </c>
      <c r="D5" s="156"/>
      <c r="E5" s="156"/>
      <c r="F5" s="156"/>
      <c r="G5" s="156"/>
    </row>
    <row r="7" spans="1:17">
      <c r="D7" s="171" t="s">
        <v>82</v>
      </c>
      <c r="E7" s="171"/>
      <c r="F7" s="171"/>
    </row>
    <row r="8" spans="1:17">
      <c r="A8" s="33" t="s">
        <v>62</v>
      </c>
      <c r="B8" s="47"/>
      <c r="D8" s="64" t="s">
        <v>24</v>
      </c>
      <c r="E8" s="65" t="s">
        <v>25</v>
      </c>
      <c r="F8" s="66"/>
      <c r="G8" s="31"/>
      <c r="H8" s="1" t="s">
        <v>30</v>
      </c>
      <c r="I8" s="174">
        <f>+'2'!D5</f>
        <v>1</v>
      </c>
      <c r="J8" s="174"/>
      <c r="K8" s="174"/>
    </row>
    <row r="9" spans="1:17">
      <c r="A9" s="33" t="s">
        <v>81</v>
      </c>
      <c r="B9" s="47"/>
      <c r="D9" s="67" t="s">
        <v>74</v>
      </c>
      <c r="E9" s="157">
        <f ca="1">+TODAY()</f>
        <v>46253</v>
      </c>
      <c r="F9" s="158"/>
      <c r="G9" s="31"/>
      <c r="H9" s="1" t="s">
        <v>29</v>
      </c>
      <c r="I9" s="175">
        <f>+'2'!D6</f>
        <v>23.2</v>
      </c>
      <c r="J9" s="175"/>
      <c r="K9" s="175"/>
    </row>
    <row r="10" spans="1:17">
      <c r="A10" s="33" t="s">
        <v>80</v>
      </c>
      <c r="B10" s="47"/>
      <c r="D10" s="74" t="s">
        <v>26</v>
      </c>
      <c r="E10" s="1" t="s">
        <v>27</v>
      </c>
      <c r="F10" s="73"/>
      <c r="G10" s="31"/>
      <c r="H10" s="1" t="s">
        <v>56</v>
      </c>
      <c r="I10" s="80">
        <v>0</v>
      </c>
      <c r="J10" s="80">
        <v>0</v>
      </c>
      <c r="K10" s="80">
        <v>0</v>
      </c>
    </row>
    <row r="11" spans="1:17">
      <c r="A11" s="33" t="s">
        <v>23</v>
      </c>
      <c r="B11" s="53"/>
      <c r="D11" s="68" t="s">
        <v>22</v>
      </c>
      <c r="E11" s="38"/>
      <c r="F11" s="69"/>
      <c r="H11" s="1" t="s">
        <v>28</v>
      </c>
      <c r="I11" s="172">
        <f>+'2'!D8</f>
        <v>8.4000000000000005E-2</v>
      </c>
      <c r="J11" s="172"/>
      <c r="K11" s="172"/>
    </row>
    <row r="13" spans="1:17">
      <c r="A13" s="173" t="s">
        <v>31</v>
      </c>
      <c r="B13" s="173"/>
      <c r="C13" s="173"/>
      <c r="D13" s="173"/>
      <c r="E13" s="173"/>
      <c r="F13" s="58"/>
      <c r="G13" s="58"/>
      <c r="H13" s="60"/>
      <c r="I13" s="60"/>
      <c r="J13" s="36" t="s">
        <v>34</v>
      </c>
      <c r="K13" s="36" t="s">
        <v>33</v>
      </c>
    </row>
    <row r="14" spans="1:17">
      <c r="A14" s="178" t="s">
        <v>36</v>
      </c>
      <c r="B14" s="178"/>
      <c r="C14" s="178"/>
      <c r="D14" s="31"/>
      <c r="E14" s="31"/>
      <c r="F14" s="31"/>
      <c r="G14" s="31"/>
      <c r="J14" s="45">
        <f>'2'!D18</f>
        <v>1220</v>
      </c>
      <c r="K14" s="34" t="s">
        <v>35</v>
      </c>
    </row>
    <row r="15" spans="1:17" customFormat="1">
      <c r="A15" s="113" t="s">
        <v>129</v>
      </c>
      <c r="B15" s="113"/>
      <c r="C15" s="113"/>
      <c r="D15" s="114"/>
      <c r="E15" s="114"/>
      <c r="F15" s="114"/>
      <c r="G15" s="114"/>
      <c r="H15" s="115"/>
      <c r="I15" s="115"/>
      <c r="J15" s="116">
        <v>0</v>
      </c>
      <c r="K15" s="117" t="s">
        <v>35</v>
      </c>
      <c r="L15" s="115"/>
      <c r="M15" s="115"/>
      <c r="N15" s="115"/>
      <c r="O15" s="115"/>
      <c r="P15" s="115"/>
      <c r="Q15" s="115"/>
    </row>
    <row r="16" spans="1:17">
      <c r="A16" s="177" t="s">
        <v>32</v>
      </c>
      <c r="B16" s="177"/>
      <c r="C16" s="177"/>
      <c r="D16" s="38"/>
      <c r="E16" s="38"/>
      <c r="F16" s="38"/>
      <c r="G16" s="38"/>
      <c r="H16" s="38"/>
      <c r="I16" s="38"/>
      <c r="J16" s="46">
        <v>0</v>
      </c>
      <c r="K16" s="39" t="s">
        <v>35</v>
      </c>
    </row>
    <row r="17" spans="1:17">
      <c r="A17" s="33" t="s">
        <v>7</v>
      </c>
      <c r="B17" s="31"/>
      <c r="C17" s="31"/>
      <c r="D17" s="31"/>
      <c r="E17" s="31"/>
      <c r="F17" s="112"/>
      <c r="G17" s="31"/>
      <c r="H17" s="31"/>
      <c r="I17" s="31"/>
      <c r="J17" s="45">
        <f>SUM(J14:J16)</f>
        <v>1220</v>
      </c>
      <c r="K17" s="34" t="s">
        <v>35</v>
      </c>
    </row>
    <row r="18" spans="1:17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</row>
    <row r="19" spans="1:17">
      <c r="A19" s="173" t="s">
        <v>72</v>
      </c>
      <c r="B19" s="173"/>
      <c r="C19" s="173"/>
      <c r="D19" s="173"/>
      <c r="E19" s="173"/>
      <c r="F19" s="58"/>
      <c r="G19" s="58"/>
      <c r="H19" s="58"/>
      <c r="I19" s="36" t="s">
        <v>42</v>
      </c>
      <c r="J19" s="36" t="s">
        <v>34</v>
      </c>
      <c r="K19" s="36" t="s">
        <v>33</v>
      </c>
    </row>
    <row r="20" spans="1:17">
      <c r="A20" s="31" t="s">
        <v>37</v>
      </c>
      <c r="B20" s="31"/>
      <c r="C20" s="31"/>
      <c r="D20" s="31"/>
      <c r="E20" s="31"/>
      <c r="F20" s="31"/>
      <c r="G20" s="31"/>
      <c r="H20" s="31"/>
      <c r="I20" s="61">
        <f>MAX('2'!C34:C34)</f>
        <v>0</v>
      </c>
      <c r="J20" s="45" t="e">
        <f>'2'!D35</f>
        <v>#REF!</v>
      </c>
      <c r="K20" s="34" t="s">
        <v>35</v>
      </c>
    </row>
    <row r="21" spans="1:17" customFormat="1">
      <c r="A21" s="114" t="s">
        <v>130</v>
      </c>
      <c r="B21" s="114"/>
      <c r="C21" s="114"/>
      <c r="D21" s="114"/>
      <c r="E21" s="114"/>
      <c r="F21" s="114"/>
      <c r="G21" s="114"/>
      <c r="H21" s="114"/>
      <c r="I21" s="118">
        <v>0</v>
      </c>
      <c r="J21" s="116">
        <v>0</v>
      </c>
      <c r="K21" s="117" t="s">
        <v>35</v>
      </c>
      <c r="L21" s="115"/>
      <c r="M21" s="115"/>
      <c r="N21" s="119"/>
      <c r="O21" s="115"/>
      <c r="P21" s="115"/>
      <c r="Q21" s="115"/>
    </row>
    <row r="22" spans="1:17">
      <c r="A22" s="31" t="s">
        <v>38</v>
      </c>
      <c r="B22" s="31"/>
      <c r="C22" s="31"/>
      <c r="D22" s="31"/>
      <c r="E22" s="31"/>
      <c r="F22" s="31"/>
      <c r="G22" s="31"/>
      <c r="H22" s="31"/>
      <c r="I22" s="61">
        <v>0.16</v>
      </c>
      <c r="J22" s="45" t="e">
        <f>'2'!D38</f>
        <v>#REF!</v>
      </c>
      <c r="K22" s="34" t="s">
        <v>35</v>
      </c>
    </row>
    <row r="23" spans="1:17">
      <c r="A23" s="31" t="s">
        <v>39</v>
      </c>
      <c r="B23" s="31"/>
      <c r="C23" s="31"/>
      <c r="D23" s="31"/>
      <c r="E23" s="31"/>
      <c r="F23" s="31"/>
      <c r="G23" s="31"/>
      <c r="H23" s="31"/>
      <c r="I23" s="61">
        <v>0.02</v>
      </c>
      <c r="J23" s="45" t="e">
        <f>'2'!D39</f>
        <v>#REF!</v>
      </c>
      <c r="K23" s="34" t="s">
        <v>35</v>
      </c>
    </row>
    <row r="24" spans="1:17">
      <c r="A24" s="38" t="s">
        <v>40</v>
      </c>
      <c r="B24" s="38"/>
      <c r="C24" s="38"/>
      <c r="D24" s="38"/>
      <c r="E24" s="38"/>
      <c r="F24" s="38"/>
      <c r="G24" s="38"/>
      <c r="H24" s="38"/>
      <c r="I24" s="75">
        <f>MAX('2'!C31:C31)</f>
        <v>0</v>
      </c>
      <c r="J24" s="46">
        <f>'2'!D32</f>
        <v>0</v>
      </c>
      <c r="K24" s="39" t="s">
        <v>35</v>
      </c>
    </row>
    <row r="25" spans="1:17">
      <c r="A25" s="33" t="s">
        <v>43</v>
      </c>
      <c r="B25" s="31"/>
      <c r="C25" s="31"/>
      <c r="D25" s="31"/>
      <c r="E25" s="31"/>
      <c r="F25" s="31"/>
      <c r="G25" s="31"/>
      <c r="H25" s="31"/>
      <c r="I25" s="34"/>
      <c r="J25" s="45" t="e">
        <f>SUM(J20:J24)</f>
        <v>#REF!</v>
      </c>
      <c r="K25" s="34" t="s">
        <v>35</v>
      </c>
    </row>
    <row r="26" spans="1:17">
      <c r="A26" s="31"/>
      <c r="B26" s="31"/>
      <c r="C26" s="31"/>
      <c r="D26" s="31"/>
      <c r="E26" s="31"/>
      <c r="F26" s="31"/>
      <c r="G26" s="31"/>
      <c r="H26" s="31"/>
      <c r="I26" s="2"/>
      <c r="J26" s="37"/>
      <c r="K26" s="34"/>
    </row>
    <row r="27" spans="1:17">
      <c r="A27" s="38" t="s">
        <v>41</v>
      </c>
      <c r="B27" s="38"/>
      <c r="C27" s="38"/>
      <c r="D27" s="38"/>
      <c r="E27" s="38"/>
      <c r="F27" s="38"/>
      <c r="G27" s="38"/>
      <c r="H27" s="38"/>
      <c r="I27" s="62" t="s">
        <v>57</v>
      </c>
      <c r="J27" s="46" t="e">
        <f>'2'!D40</f>
        <v>#REF!</v>
      </c>
      <c r="K27" s="39" t="s">
        <v>35</v>
      </c>
    </row>
    <row r="28" spans="1:17">
      <c r="A28" s="33" t="s">
        <v>8</v>
      </c>
      <c r="B28" s="31"/>
      <c r="C28" s="31"/>
      <c r="D28" s="31"/>
      <c r="E28" s="31"/>
      <c r="F28" s="31"/>
      <c r="G28" s="31"/>
      <c r="H28" s="31"/>
      <c r="J28" s="45" t="e">
        <f>J25+J27</f>
        <v>#REF!</v>
      </c>
      <c r="K28" s="34" t="s">
        <v>35</v>
      </c>
    </row>
    <row r="30" spans="1:17">
      <c r="A30" s="187" t="s">
        <v>131</v>
      </c>
      <c r="B30" s="188"/>
      <c r="C30" s="188"/>
      <c r="D30" s="188"/>
      <c r="E30" s="188"/>
      <c r="F30" s="120"/>
      <c r="G30" s="121"/>
      <c r="H30" s="121"/>
      <c r="I30" s="122" t="s">
        <v>38</v>
      </c>
      <c r="J30" s="122" t="s">
        <v>34</v>
      </c>
      <c r="K30" s="122" t="s">
        <v>33</v>
      </c>
    </row>
    <row r="31" spans="1:17" customFormat="1">
      <c r="A31" s="114" t="s">
        <v>129</v>
      </c>
      <c r="B31" s="123"/>
      <c r="C31" s="123"/>
      <c r="D31" s="123"/>
      <c r="E31" s="123"/>
      <c r="F31" s="123"/>
      <c r="G31" s="123"/>
      <c r="H31" s="123"/>
      <c r="I31" s="117" t="s">
        <v>132</v>
      </c>
      <c r="J31" s="116">
        <v>0</v>
      </c>
      <c r="K31" s="117" t="s">
        <v>35</v>
      </c>
      <c r="L31" s="115"/>
      <c r="M31" s="115"/>
      <c r="N31" s="115"/>
      <c r="O31" s="115"/>
      <c r="P31" s="115"/>
      <c r="Q31" s="115"/>
    </row>
    <row r="32" spans="1:17" customFormat="1">
      <c r="A32" s="123" t="s">
        <v>133</v>
      </c>
      <c r="B32" s="123"/>
      <c r="C32" s="123"/>
      <c r="D32" s="123"/>
      <c r="E32" s="123"/>
      <c r="F32" s="123"/>
      <c r="G32" s="123"/>
      <c r="H32" s="123"/>
      <c r="I32" s="117" t="s">
        <v>134</v>
      </c>
      <c r="J32" s="116">
        <v>0</v>
      </c>
      <c r="K32" s="117" t="s">
        <v>35</v>
      </c>
      <c r="L32" s="115"/>
      <c r="M32" s="115"/>
      <c r="N32" s="115"/>
      <c r="O32" s="115"/>
      <c r="P32" s="115"/>
      <c r="Q32" s="115"/>
    </row>
    <row r="33" spans="1:19" customFormat="1">
      <c r="A33" s="126" t="s">
        <v>135</v>
      </c>
      <c r="B33" s="126"/>
      <c r="C33" s="126"/>
      <c r="D33" s="126"/>
      <c r="E33" s="126"/>
      <c r="F33" s="126"/>
      <c r="G33" s="126"/>
      <c r="H33" s="126"/>
      <c r="I33" s="127" t="s">
        <v>132</v>
      </c>
      <c r="J33" s="128">
        <v>0</v>
      </c>
      <c r="K33" s="129" t="s">
        <v>35</v>
      </c>
      <c r="L33" s="115"/>
      <c r="M33" s="115"/>
      <c r="N33" s="115"/>
      <c r="O33" s="115"/>
      <c r="P33" s="115"/>
      <c r="Q33" s="115"/>
    </row>
    <row r="34" spans="1:19" customFormat="1">
      <c r="A34" s="124" t="s">
        <v>43</v>
      </c>
      <c r="B34" s="123"/>
      <c r="C34" s="123"/>
      <c r="D34" s="123"/>
      <c r="E34" s="123"/>
      <c r="F34" s="123"/>
      <c r="G34" s="123"/>
      <c r="H34" s="123"/>
      <c r="I34" s="125"/>
      <c r="J34" s="116">
        <f>SUM(J31:J33)</f>
        <v>0</v>
      </c>
      <c r="K34" s="117" t="s">
        <v>35</v>
      </c>
      <c r="L34" s="115"/>
      <c r="M34" s="115"/>
      <c r="N34" s="115"/>
      <c r="O34" s="115"/>
      <c r="P34" s="115"/>
      <c r="Q34" s="115"/>
    </row>
    <row r="36" spans="1:19" customFormat="1">
      <c r="A36" t="s">
        <v>136</v>
      </c>
      <c r="B36" s="130"/>
      <c r="C36" s="130"/>
      <c r="D36" s="130"/>
      <c r="E36" s="130"/>
      <c r="F36" s="130"/>
      <c r="G36" s="130"/>
      <c r="H36" s="130"/>
      <c r="I36" s="131"/>
      <c r="J36" s="132">
        <v>0</v>
      </c>
      <c r="K36" s="133" t="s">
        <v>35</v>
      </c>
      <c r="L36" s="115"/>
      <c r="M36" s="115"/>
      <c r="N36" s="115"/>
      <c r="O36" s="115"/>
      <c r="P36" s="115"/>
      <c r="Q36" s="115"/>
    </row>
    <row r="37" spans="1:19" customFormat="1">
      <c r="A37" s="134" t="s">
        <v>93</v>
      </c>
      <c r="B37" s="135"/>
      <c r="C37" s="135"/>
      <c r="D37" s="135"/>
      <c r="E37" s="135"/>
      <c r="F37" s="135"/>
      <c r="G37" s="135"/>
      <c r="H37" s="135"/>
      <c r="I37" s="136"/>
      <c r="J37" s="137">
        <v>0</v>
      </c>
      <c r="K37" s="138" t="s">
        <v>35</v>
      </c>
      <c r="L37" s="115"/>
      <c r="M37" s="115"/>
      <c r="N37" s="115"/>
      <c r="O37" s="115"/>
      <c r="P37" s="115"/>
      <c r="Q37" s="115"/>
    </row>
    <row r="38" spans="1:19" customFormat="1">
      <c r="A38" s="189" t="s">
        <v>8</v>
      </c>
      <c r="B38" s="190"/>
      <c r="C38" s="190"/>
      <c r="D38" s="190"/>
      <c r="E38" s="190"/>
      <c r="F38" s="190"/>
      <c r="G38" s="190"/>
      <c r="H38" s="190"/>
      <c r="I38" s="141"/>
      <c r="J38" s="142">
        <f>SUM(J34+J36)-J37</f>
        <v>0</v>
      </c>
      <c r="K38" s="143" t="s">
        <v>35</v>
      </c>
      <c r="L38" s="115"/>
      <c r="M38" s="115"/>
      <c r="N38" s="115"/>
      <c r="O38" s="115"/>
      <c r="P38" s="115"/>
      <c r="Q38" s="115"/>
    </row>
    <row r="39" spans="1:19" customFormat="1">
      <c r="B39" s="130"/>
      <c r="C39" s="130"/>
      <c r="D39" s="130"/>
      <c r="E39" s="130"/>
      <c r="F39" s="130"/>
      <c r="G39" s="130"/>
      <c r="H39" s="130"/>
      <c r="I39" s="131"/>
      <c r="J39" s="139"/>
      <c r="K39" s="140"/>
      <c r="L39" s="115"/>
      <c r="M39" s="115"/>
      <c r="N39" s="115"/>
      <c r="O39" s="115"/>
      <c r="P39" s="115"/>
      <c r="Q39" s="115"/>
    </row>
    <row r="40" spans="1:19" ht="15.6">
      <c r="A40" s="185" t="s">
        <v>70</v>
      </c>
      <c r="B40" s="185"/>
      <c r="C40" s="185"/>
      <c r="D40" s="185"/>
      <c r="E40" s="185"/>
      <c r="F40" s="78"/>
      <c r="G40" s="78"/>
      <c r="H40" s="79"/>
      <c r="I40" s="79"/>
      <c r="J40" s="79" t="s">
        <v>34</v>
      </c>
      <c r="K40" s="79" t="s">
        <v>33</v>
      </c>
    </row>
    <row r="41" spans="1:19">
      <c r="A41" s="31" t="s">
        <v>137</v>
      </c>
      <c r="B41" s="31"/>
      <c r="C41" s="31"/>
      <c r="D41" s="31"/>
      <c r="E41" s="31"/>
      <c r="F41" s="31"/>
      <c r="G41" s="31"/>
      <c r="H41" s="45"/>
      <c r="I41" s="45"/>
      <c r="J41" s="45">
        <f>J38</f>
        <v>0</v>
      </c>
      <c r="K41" s="34" t="s">
        <v>35</v>
      </c>
    </row>
    <row r="42" spans="1:19">
      <c r="A42" s="38" t="s">
        <v>44</v>
      </c>
      <c r="B42" s="38"/>
      <c r="C42" s="38"/>
      <c r="D42" s="38"/>
      <c r="E42" s="38"/>
      <c r="F42" s="38"/>
      <c r="G42" s="38"/>
      <c r="H42" s="46"/>
      <c r="I42" s="46"/>
      <c r="J42" s="46" t="e">
        <f>J28</f>
        <v>#REF!</v>
      </c>
      <c r="K42" s="39" t="s">
        <v>35</v>
      </c>
      <c r="N42" s="2"/>
    </row>
    <row r="43" spans="1:19">
      <c r="A43" s="33" t="s">
        <v>71</v>
      </c>
      <c r="B43" s="31"/>
      <c r="C43" s="31"/>
      <c r="D43" s="31"/>
      <c r="E43" s="31"/>
      <c r="F43" s="31"/>
      <c r="G43" s="31"/>
      <c r="H43" s="45"/>
      <c r="I43" s="45"/>
      <c r="J43" s="45" t="e">
        <f>SUM(J41:J42)</f>
        <v>#REF!</v>
      </c>
      <c r="K43" s="34" t="s">
        <v>35</v>
      </c>
      <c r="M43" s="161" t="s">
        <v>87</v>
      </c>
      <c r="N43" s="161"/>
      <c r="O43" s="161"/>
      <c r="P43" s="161"/>
      <c r="Q43" s="161"/>
    </row>
    <row r="44" spans="1:19" ht="20.25" customHeight="1">
      <c r="A44" s="33"/>
      <c r="B44" s="31"/>
      <c r="C44" s="31"/>
      <c r="D44" s="31"/>
      <c r="E44" s="31"/>
      <c r="F44" s="31"/>
      <c r="G44" s="31"/>
      <c r="H44" s="37"/>
      <c r="I44" s="37"/>
      <c r="J44" s="37"/>
      <c r="K44" s="34"/>
      <c r="M44" s="162"/>
      <c r="N44" s="162"/>
      <c r="O44" s="162"/>
      <c r="P44" s="162"/>
      <c r="Q44" s="162"/>
    </row>
    <row r="45" spans="1:19" ht="15" customHeight="1">
      <c r="A45" s="181" t="s">
        <v>73</v>
      </c>
      <c r="B45" s="182"/>
      <c r="C45" s="182"/>
      <c r="D45" s="182"/>
      <c r="E45" s="182"/>
      <c r="F45" s="182"/>
      <c r="G45" s="182"/>
      <c r="H45" s="182"/>
      <c r="I45" s="182"/>
      <c r="J45" s="182"/>
      <c r="K45" s="183"/>
      <c r="M45" s="169" t="s">
        <v>46</v>
      </c>
      <c r="N45" s="167" t="s">
        <v>60</v>
      </c>
      <c r="O45" s="163" t="s">
        <v>83</v>
      </c>
      <c r="P45" s="165" t="s">
        <v>84</v>
      </c>
      <c r="Q45" s="159" t="s">
        <v>85</v>
      </c>
    </row>
    <row r="46" spans="1:19" ht="17.25" customHeight="1">
      <c r="A46" s="59" t="s">
        <v>46</v>
      </c>
      <c r="B46" s="179" t="s">
        <v>60</v>
      </c>
      <c r="C46" s="184"/>
      <c r="D46" s="180"/>
      <c r="E46" s="7" t="s">
        <v>1</v>
      </c>
      <c r="F46" s="179" t="s">
        <v>61</v>
      </c>
      <c r="G46" s="180"/>
      <c r="H46" s="5" t="s">
        <v>58</v>
      </c>
      <c r="I46" s="70" t="s">
        <v>8</v>
      </c>
      <c r="J46" s="186" t="s">
        <v>59</v>
      </c>
      <c r="K46" s="186"/>
      <c r="M46" s="170"/>
      <c r="N46" s="168"/>
      <c r="O46" s="164"/>
      <c r="P46" s="166"/>
      <c r="Q46" s="160"/>
    </row>
    <row r="47" spans="1:19" s="106" customFormat="1" ht="15.6">
      <c r="A47" s="103" t="s">
        <v>8</v>
      </c>
      <c r="B47" s="104"/>
      <c r="C47" s="104"/>
      <c r="D47" s="104"/>
      <c r="E47" s="105" t="e">
        <f>+SUM(#REF!)</f>
        <v>#REF!</v>
      </c>
      <c r="F47" s="104"/>
      <c r="G47" s="104"/>
      <c r="I47" s="107" t="e">
        <f>+SUM(#REF!)</f>
        <v>#REF!</v>
      </c>
      <c r="J47" s="108"/>
      <c r="K47" s="109"/>
      <c r="L47" s="104"/>
    </row>
    <row r="48" spans="1:19" ht="15.75" customHeight="1">
      <c r="A48" s="63"/>
      <c r="B48" s="2"/>
      <c r="C48" s="2"/>
      <c r="D48" s="2"/>
      <c r="E48" s="43"/>
      <c r="F48" s="2"/>
      <c r="G48" s="2"/>
      <c r="I48" s="83"/>
      <c r="J48" s="71"/>
      <c r="K48" s="72"/>
      <c r="M48" s="192" t="s">
        <v>86</v>
      </c>
      <c r="N48" s="192"/>
      <c r="O48" s="192"/>
      <c r="P48" s="192"/>
      <c r="Q48" s="192"/>
      <c r="R48" s="192"/>
      <c r="S48" s="192"/>
    </row>
    <row r="49" spans="1:19" ht="18.75" customHeight="1">
      <c r="A49" s="81" t="s">
        <v>48</v>
      </c>
      <c r="B49" s="31"/>
      <c r="C49" s="31"/>
      <c r="D49" s="31"/>
      <c r="E49" s="31"/>
      <c r="F49" s="31"/>
      <c r="G49" s="31"/>
      <c r="H49" s="31"/>
      <c r="I49" s="31"/>
      <c r="J49" s="31"/>
      <c r="M49" s="192"/>
      <c r="N49" s="192"/>
      <c r="O49" s="192"/>
      <c r="P49" s="192"/>
      <c r="Q49" s="192"/>
      <c r="R49" s="192"/>
      <c r="S49" s="192"/>
    </row>
    <row r="50" spans="1:19" ht="18">
      <c r="A50" s="82" t="s">
        <v>65</v>
      </c>
      <c r="B50" s="31"/>
      <c r="C50" s="31"/>
      <c r="D50" s="31"/>
      <c r="E50" s="31"/>
      <c r="F50" s="31"/>
      <c r="G50" s="31"/>
      <c r="H50" s="31"/>
      <c r="I50" s="31"/>
      <c r="J50" s="31"/>
    </row>
    <row r="51" spans="1:19" ht="18">
      <c r="A51" s="82" t="s">
        <v>66</v>
      </c>
      <c r="B51" s="31"/>
      <c r="C51" s="31"/>
      <c r="D51" s="31"/>
      <c r="E51" s="31"/>
      <c r="F51" s="31"/>
      <c r="G51" s="31"/>
      <c r="H51" s="31"/>
      <c r="I51" s="31"/>
      <c r="J51" s="31"/>
      <c r="M51" s="110" t="s">
        <v>96</v>
      </c>
      <c r="O51" s="110" t="s">
        <v>34</v>
      </c>
      <c r="R51" s="110" t="s">
        <v>97</v>
      </c>
    </row>
    <row r="52" spans="1:19" ht="18">
      <c r="A52" s="82" t="s">
        <v>76</v>
      </c>
      <c r="B52" s="31"/>
      <c r="C52" s="31"/>
      <c r="D52" s="31"/>
      <c r="E52" s="31"/>
      <c r="F52" s="31"/>
      <c r="G52" s="31"/>
      <c r="H52" s="31"/>
      <c r="I52" s="31"/>
      <c r="J52" s="31"/>
      <c r="N52" s="111"/>
      <c r="O52" s="111"/>
      <c r="P52" s="111"/>
    </row>
    <row r="53" spans="1:19" ht="18.75" customHeight="1">
      <c r="A53" s="82" t="s">
        <v>67</v>
      </c>
      <c r="B53" s="31"/>
      <c r="C53" s="31"/>
      <c r="D53" s="31"/>
      <c r="E53" s="31"/>
      <c r="F53" s="31"/>
      <c r="G53" s="31"/>
      <c r="H53" s="31"/>
      <c r="I53" s="31"/>
      <c r="J53" s="31"/>
      <c r="M53" s="203" t="s">
        <v>98</v>
      </c>
      <c r="N53" s="204"/>
      <c r="O53" s="191">
        <f>J14</f>
        <v>1220</v>
      </c>
      <c r="P53" s="212" t="s">
        <v>99</v>
      </c>
      <c r="Q53" s="210"/>
      <c r="R53" s="210"/>
      <c r="S53" s="210"/>
    </row>
    <row r="54" spans="1:19" ht="18.75" customHeight="1">
      <c r="A54" s="82" t="s">
        <v>77</v>
      </c>
      <c r="B54" s="31"/>
      <c r="C54" s="31"/>
      <c r="D54" s="31"/>
      <c r="E54" s="31"/>
      <c r="F54" s="31"/>
      <c r="G54" s="31"/>
      <c r="H54" s="31"/>
      <c r="I54" s="31"/>
      <c r="J54" s="31"/>
      <c r="M54" s="201"/>
      <c r="N54" s="205"/>
      <c r="O54" s="191"/>
      <c r="P54" s="212"/>
      <c r="Q54" s="210"/>
      <c r="R54" s="210"/>
      <c r="S54" s="210"/>
    </row>
    <row r="55" spans="1:19" ht="18.75" customHeight="1">
      <c r="A55" s="82" t="s">
        <v>78</v>
      </c>
      <c r="B55" s="31"/>
      <c r="C55" s="31"/>
      <c r="D55" s="31"/>
      <c r="E55" s="31"/>
      <c r="F55" s="31"/>
      <c r="G55" s="31"/>
      <c r="H55" s="31"/>
      <c r="I55" s="31"/>
      <c r="J55" s="31"/>
      <c r="N55" s="31"/>
      <c r="O55" s="202"/>
      <c r="P55" s="31"/>
      <c r="Q55" s="211"/>
      <c r="R55" s="211"/>
      <c r="S55" s="211"/>
    </row>
    <row r="56" spans="1:19" ht="18" customHeight="1">
      <c r="A56" s="82" t="s">
        <v>79</v>
      </c>
      <c r="B56" s="31"/>
      <c r="C56" s="31"/>
      <c r="D56" s="31"/>
      <c r="E56" s="31"/>
      <c r="F56" s="31"/>
      <c r="G56" s="31"/>
      <c r="H56" s="31"/>
      <c r="I56" s="31"/>
      <c r="J56" s="31"/>
      <c r="M56" s="203" t="s">
        <v>100</v>
      </c>
      <c r="N56" s="204"/>
      <c r="O56" s="191">
        <f>J41</f>
        <v>0</v>
      </c>
      <c r="P56" s="212" t="s">
        <v>101</v>
      </c>
      <c r="Q56" s="210"/>
      <c r="R56" s="210"/>
      <c r="S56" s="210"/>
    </row>
    <row r="57" spans="1:19" ht="18">
      <c r="A57" s="82" t="s">
        <v>75</v>
      </c>
      <c r="B57" s="31"/>
      <c r="C57" s="31"/>
      <c r="D57" s="31"/>
      <c r="E57" s="31"/>
      <c r="F57" s="31"/>
      <c r="G57" s="31"/>
      <c r="H57" s="31"/>
      <c r="I57" s="31"/>
      <c r="J57" s="31"/>
      <c r="M57" s="201"/>
      <c r="N57" s="205"/>
      <c r="O57" s="193"/>
      <c r="P57" s="212"/>
      <c r="Q57" s="210"/>
      <c r="R57" s="210"/>
      <c r="S57" s="210"/>
    </row>
    <row r="58" spans="1:19">
      <c r="A58" s="31"/>
      <c r="B58" s="31"/>
      <c r="C58" s="31"/>
      <c r="D58" s="31"/>
      <c r="E58" s="31"/>
      <c r="F58" s="31"/>
      <c r="G58" s="31"/>
      <c r="H58" s="31"/>
      <c r="I58" s="31"/>
      <c r="J58" s="31"/>
      <c r="N58" s="31"/>
      <c r="O58" s="202"/>
      <c r="P58" s="31"/>
      <c r="Q58" s="211"/>
      <c r="R58" s="211"/>
      <c r="S58" s="211"/>
    </row>
    <row r="59" spans="1:19" ht="14.4" customHeight="1">
      <c r="M59" s="206" t="s">
        <v>102</v>
      </c>
      <c r="N59" s="207"/>
      <c r="O59" s="191" t="e">
        <f>J42</f>
        <v>#REF!</v>
      </c>
      <c r="P59" s="212" t="s">
        <v>103</v>
      </c>
      <c r="Q59" s="210"/>
      <c r="R59" s="210"/>
      <c r="S59" s="210"/>
    </row>
    <row r="60" spans="1:19" ht="18">
      <c r="H60" s="32"/>
      <c r="I60" s="32"/>
      <c r="J60" s="32"/>
      <c r="K60" s="31"/>
      <c r="M60" s="208"/>
      <c r="N60" s="209"/>
      <c r="O60" s="191"/>
      <c r="P60" s="212"/>
      <c r="Q60" s="210"/>
      <c r="R60" s="210"/>
      <c r="S60" s="210"/>
    </row>
    <row r="61" spans="1:19" ht="18">
      <c r="H61" s="32"/>
      <c r="I61" s="32"/>
      <c r="J61" s="32"/>
      <c r="K61" s="31"/>
    </row>
    <row r="63" spans="1:19">
      <c r="H63" s="40"/>
      <c r="I63" s="40"/>
      <c r="J63" s="40"/>
    </row>
    <row r="65" spans="1:11" ht="21">
      <c r="A65" s="176" t="s">
        <v>45</v>
      </c>
      <c r="B65" s="176"/>
      <c r="C65" s="176"/>
      <c r="D65" s="176"/>
      <c r="E65" s="176"/>
      <c r="F65" s="176"/>
      <c r="G65" s="176"/>
      <c r="H65" s="176"/>
      <c r="I65" s="176"/>
      <c r="J65" s="176"/>
      <c r="K65" s="176"/>
    </row>
    <row r="68" spans="1:11">
      <c r="A68" s="1" t="s">
        <v>113</v>
      </c>
    </row>
    <row r="69" spans="1:11">
      <c r="A69" s="49" t="s">
        <v>104</v>
      </c>
      <c r="B69" s="31"/>
      <c r="C69" s="31"/>
      <c r="D69" s="31"/>
    </row>
    <row r="70" spans="1:11">
      <c r="A70" s="49" t="s">
        <v>105</v>
      </c>
      <c r="B70" s="31"/>
      <c r="C70" s="31"/>
      <c r="D70" s="31"/>
    </row>
    <row r="71" spans="1:11">
      <c r="A71" s="31" t="s">
        <v>49</v>
      </c>
      <c r="C71" s="31"/>
      <c r="D71" s="31"/>
    </row>
    <row r="72" spans="1:11">
      <c r="A72" s="49" t="s">
        <v>106</v>
      </c>
      <c r="B72" s="31"/>
      <c r="C72" s="31"/>
      <c r="D72" s="31"/>
    </row>
    <row r="73" spans="1:11">
      <c r="A73" s="49" t="s">
        <v>107</v>
      </c>
      <c r="B73" s="31"/>
      <c r="C73" s="31"/>
      <c r="D73" s="31"/>
    </row>
    <row r="74" spans="1:11">
      <c r="A74" s="31" t="s">
        <v>50</v>
      </c>
      <c r="C74" s="31"/>
      <c r="D74" s="31"/>
    </row>
    <row r="75" spans="1:11">
      <c r="A75" s="49" t="s">
        <v>108</v>
      </c>
      <c r="B75" s="31"/>
      <c r="C75" s="31"/>
      <c r="D75" s="31"/>
    </row>
    <row r="76" spans="1:11">
      <c r="A76" s="49" t="s">
        <v>109</v>
      </c>
      <c r="B76" s="31"/>
      <c r="C76" s="31"/>
      <c r="D76" s="31"/>
    </row>
    <row r="77" spans="1:11">
      <c r="A77" s="49" t="s">
        <v>110</v>
      </c>
      <c r="B77" s="31"/>
      <c r="C77" s="31"/>
      <c r="D77" s="31"/>
    </row>
    <row r="78" spans="1:11">
      <c r="A78" s="49" t="s">
        <v>51</v>
      </c>
      <c r="B78" s="31"/>
      <c r="C78" s="31"/>
      <c r="D78" s="31"/>
    </row>
    <row r="79" spans="1:11">
      <c r="A79" s="49" t="s">
        <v>114</v>
      </c>
      <c r="B79" s="31"/>
      <c r="C79" s="31"/>
      <c r="D79" s="31"/>
    </row>
    <row r="80" spans="1:11">
      <c r="A80" s="49" t="s">
        <v>52</v>
      </c>
      <c r="B80" s="31"/>
      <c r="C80" s="31"/>
      <c r="D80" s="31"/>
    </row>
    <row r="81" spans="1:10">
      <c r="A81" s="49" t="s">
        <v>111</v>
      </c>
      <c r="B81" s="31"/>
      <c r="C81" s="31"/>
      <c r="D81" s="31"/>
    </row>
    <row r="82" spans="1:10">
      <c r="A82" s="49" t="s">
        <v>112</v>
      </c>
      <c r="B82" s="31"/>
      <c r="C82" s="31"/>
      <c r="D82" s="31"/>
    </row>
    <row r="86" spans="1:10">
      <c r="A86" s="49" t="s">
        <v>115</v>
      </c>
      <c r="B86" s="31"/>
      <c r="C86" s="31"/>
      <c r="D86" s="31"/>
      <c r="E86" s="31"/>
      <c r="F86" s="31"/>
      <c r="G86" s="31"/>
      <c r="H86" s="31"/>
      <c r="I86" s="31"/>
      <c r="J86" s="31"/>
    </row>
    <row r="87" spans="1:10">
      <c r="A87" s="90" t="s">
        <v>116</v>
      </c>
      <c r="B87" s="31"/>
      <c r="C87" s="31"/>
      <c r="D87" s="31"/>
      <c r="E87" s="31"/>
      <c r="F87" s="31"/>
      <c r="G87" s="31"/>
      <c r="H87" s="31"/>
      <c r="I87" s="31"/>
      <c r="J87" s="31"/>
    </row>
    <row r="88" spans="1:10">
      <c r="A88" s="49" t="s">
        <v>117</v>
      </c>
      <c r="B88" s="31"/>
      <c r="C88" s="31"/>
      <c r="D88" s="31"/>
      <c r="E88" s="31"/>
      <c r="F88" s="31"/>
      <c r="G88" s="31"/>
      <c r="H88" s="31"/>
      <c r="I88" s="31"/>
      <c r="J88" s="31"/>
    </row>
    <row r="89" spans="1:10">
      <c r="A89" s="89" t="s">
        <v>88</v>
      </c>
      <c r="C89" s="31"/>
      <c r="D89" s="31"/>
      <c r="E89" s="31"/>
      <c r="F89" s="31"/>
      <c r="G89" s="31"/>
      <c r="H89" s="31"/>
      <c r="I89" s="31"/>
      <c r="J89" s="31"/>
    </row>
    <row r="90" spans="1:10">
      <c r="A90" s="49" t="s">
        <v>118</v>
      </c>
      <c r="B90" s="31"/>
      <c r="C90" s="31"/>
      <c r="D90" s="31"/>
      <c r="E90" s="31"/>
      <c r="F90" s="31"/>
      <c r="G90" s="31"/>
      <c r="H90" s="31"/>
      <c r="I90" s="31"/>
      <c r="J90" s="31"/>
    </row>
    <row r="91" spans="1:10">
      <c r="A91" s="35" t="s">
        <v>47</v>
      </c>
      <c r="C91" s="31"/>
      <c r="D91" s="31"/>
      <c r="E91" s="31"/>
      <c r="F91" s="31"/>
      <c r="G91" s="31"/>
      <c r="H91" s="31"/>
      <c r="I91" s="31"/>
      <c r="J91" s="31"/>
    </row>
    <row r="92" spans="1:10">
      <c r="A92" s="49" t="s">
        <v>119</v>
      </c>
      <c r="B92" s="31"/>
      <c r="C92" s="31"/>
      <c r="D92" s="31"/>
      <c r="E92" s="31"/>
      <c r="F92" s="31"/>
      <c r="G92" s="31"/>
      <c r="H92" s="31"/>
      <c r="I92" s="31"/>
      <c r="J92" s="31"/>
    </row>
    <row r="93" spans="1:10">
      <c r="A93" s="49" t="s">
        <v>120</v>
      </c>
      <c r="B93" s="31"/>
      <c r="C93" s="31"/>
      <c r="D93" s="31"/>
      <c r="E93" s="31"/>
      <c r="F93" s="31"/>
      <c r="G93" s="31"/>
      <c r="H93" s="31"/>
      <c r="I93" s="31"/>
      <c r="J93" s="31"/>
    </row>
    <row r="94" spans="1:10">
      <c r="A94" s="49" t="s">
        <v>121</v>
      </c>
      <c r="B94" s="31"/>
      <c r="C94" s="31"/>
      <c r="D94" s="31"/>
      <c r="E94" s="31"/>
      <c r="F94" s="31"/>
      <c r="G94" s="31"/>
      <c r="H94" s="31"/>
      <c r="I94" s="31"/>
      <c r="J94" s="31"/>
    </row>
    <row r="95" spans="1:10">
      <c r="A95" s="49" t="s">
        <v>122</v>
      </c>
      <c r="B95" s="31"/>
      <c r="C95" s="31"/>
      <c r="D95" s="31"/>
      <c r="E95" s="31"/>
      <c r="F95" s="31"/>
      <c r="G95" s="31"/>
      <c r="H95" s="31"/>
      <c r="I95" s="31"/>
      <c r="J95" s="31"/>
    </row>
    <row r="96" spans="1:10">
      <c r="A96" s="49" t="s">
        <v>123</v>
      </c>
      <c r="B96" s="31"/>
      <c r="C96" s="31"/>
      <c r="D96" s="31"/>
      <c r="E96" s="31"/>
      <c r="F96" s="31"/>
      <c r="G96" s="31"/>
      <c r="H96" s="31"/>
      <c r="I96" s="31"/>
      <c r="J96" s="31"/>
    </row>
    <row r="100" spans="1:4">
      <c r="A100" s="49" t="s">
        <v>124</v>
      </c>
      <c r="B100" s="31"/>
      <c r="C100" s="31"/>
      <c r="D100" s="31"/>
    </row>
    <row r="101" spans="1:4">
      <c r="A101" s="49" t="s">
        <v>125</v>
      </c>
      <c r="B101" s="31"/>
      <c r="C101" s="31"/>
      <c r="D101" s="31"/>
    </row>
    <row r="102" spans="1:4">
      <c r="A102" s="41" t="s">
        <v>126</v>
      </c>
      <c r="B102" s="31"/>
      <c r="C102" s="31"/>
      <c r="D102" s="31"/>
    </row>
    <row r="103" spans="1:4">
      <c r="A103" s="41" t="s">
        <v>127</v>
      </c>
    </row>
    <row r="104" spans="1:4">
      <c r="A104" s="41" t="s">
        <v>128</v>
      </c>
    </row>
    <row r="109" spans="1:4">
      <c r="B109" s="41"/>
    </row>
    <row r="110" spans="1:4" ht="15.6">
      <c r="B110" s="42"/>
    </row>
    <row r="111" spans="1:4" ht="15.6">
      <c r="B111" s="42"/>
    </row>
    <row r="113" spans="2:10">
      <c r="C113" s="43"/>
      <c r="H113" s="43"/>
      <c r="I113" s="43"/>
      <c r="J113" s="43"/>
    </row>
    <row r="114" spans="2:10">
      <c r="C114" s="43"/>
      <c r="H114" s="43"/>
      <c r="I114" s="43"/>
      <c r="J114" s="43"/>
    </row>
    <row r="116" spans="2:10">
      <c r="C116" s="2"/>
      <c r="H116" s="2"/>
      <c r="I116" s="2"/>
      <c r="J116" s="2"/>
    </row>
    <row r="118" spans="2:10" ht="15.6">
      <c r="B118" s="44"/>
    </row>
  </sheetData>
  <sheetProtection selectLockedCells="1"/>
  <mergeCells count="35">
    <mergeCell ref="M59:N60"/>
    <mergeCell ref="P53:S54"/>
    <mergeCell ref="P56:S57"/>
    <mergeCell ref="P59:S60"/>
    <mergeCell ref="O53:O54"/>
    <mergeCell ref="M48:S49"/>
    <mergeCell ref="O56:O57"/>
    <mergeCell ref="M53:N54"/>
    <mergeCell ref="M56:N57"/>
    <mergeCell ref="I9:K9"/>
    <mergeCell ref="A65:K65"/>
    <mergeCell ref="A16:C16"/>
    <mergeCell ref="A14:C14"/>
    <mergeCell ref="F46:G46"/>
    <mergeCell ref="A45:K45"/>
    <mergeCell ref="B46:D46"/>
    <mergeCell ref="A40:E40"/>
    <mergeCell ref="A19:E19"/>
    <mergeCell ref="J46:K46"/>
    <mergeCell ref="A30:E30"/>
    <mergeCell ref="A38:H38"/>
    <mergeCell ref="O59:O60"/>
    <mergeCell ref="C3:G4"/>
    <mergeCell ref="C5:G5"/>
    <mergeCell ref="E9:F9"/>
    <mergeCell ref="Q45:Q46"/>
    <mergeCell ref="M43:Q44"/>
    <mergeCell ref="O45:O46"/>
    <mergeCell ref="P45:P46"/>
    <mergeCell ref="N45:N46"/>
    <mergeCell ref="M45:M46"/>
    <mergeCell ref="D7:F7"/>
    <mergeCell ref="I11:K11"/>
    <mergeCell ref="A13:E13"/>
    <mergeCell ref="I8:K8"/>
  </mergeCells>
  <dataValidations disablePrompts="1" count="1">
    <dataValidation type="custom" showInputMessage="1" showErrorMessage="1" errorTitle="COMPROBAR CANTIDAD DE CAJAS" error="Se debe ingresar la cantidad de cajas" sqref="I11" xr:uid="{3C2F8455-5D0D-41B0-BE98-F91BBC4383D3}">
      <formula1>I8&gt;0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62" fitToWidth="2" fitToHeight="2" orientation="portrait" horizontalDpi="360" verticalDpi="360" r:id="rId1"/>
  <rowBreaks count="1" manualBreakCount="1">
    <brk id="58" max="10" man="1"/>
  </rowBreaks>
  <cellWatches>
    <cellWatch r="J17"/>
  </cellWatches>
  <ignoredErrors>
    <ignoredError sqref="I27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V57"/>
  <sheetViews>
    <sheetView topLeftCell="A28" zoomScaleNormal="100" workbookViewId="0">
      <selection activeCell="G33" sqref="F33:G34"/>
    </sheetView>
  </sheetViews>
  <sheetFormatPr baseColWidth="10" defaultRowHeight="14.4"/>
  <cols>
    <col min="1" max="1" width="2.88671875" style="1" customWidth="1"/>
    <col min="2" max="2" width="19.44140625" style="1" customWidth="1"/>
    <col min="3" max="3" width="16.88671875" style="2" customWidth="1"/>
    <col min="4" max="4" width="16.6640625" style="2" bestFit="1" customWidth="1"/>
    <col min="5" max="5" width="11.44140625" style="2"/>
    <col min="6" max="6" width="11.33203125" style="2" customWidth="1"/>
    <col min="7" max="8" width="11.44140625" style="2"/>
    <col min="9" max="9" width="13.44140625" style="2" bestFit="1" customWidth="1"/>
    <col min="10" max="10" width="11.44140625" style="2" customWidth="1"/>
    <col min="11" max="11" width="14" style="2" customWidth="1"/>
    <col min="12" max="12" width="11.88671875" style="2" bestFit="1" customWidth="1"/>
    <col min="13" max="47" width="11.44140625" style="1"/>
  </cols>
  <sheetData>
    <row r="1" spans="2:47" ht="15" thickBot="1">
      <c r="B1" s="194" t="s">
        <v>12</v>
      </c>
      <c r="C1" s="195"/>
      <c r="D1" s="195"/>
      <c r="E1" s="195"/>
      <c r="F1" s="195"/>
      <c r="G1" s="195"/>
      <c r="H1" s="195"/>
      <c r="I1" s="195"/>
      <c r="J1" s="195"/>
      <c r="K1" s="195"/>
      <c r="L1" s="196"/>
    </row>
    <row r="2" spans="2:47" s="1" customFormat="1" ht="35.1" customHeight="1"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2:47" s="1" customFormat="1" ht="23.1" customHeight="1">
      <c r="B3" s="43"/>
      <c r="C3" s="43"/>
      <c r="D3" s="92" t="s">
        <v>91</v>
      </c>
      <c r="E3" s="43"/>
      <c r="F3" s="43"/>
      <c r="G3" s="43"/>
      <c r="H3" s="43"/>
      <c r="I3" s="43"/>
      <c r="J3" s="43"/>
      <c r="K3" s="43"/>
      <c r="L3" s="43"/>
    </row>
    <row r="4" spans="2:47">
      <c r="B4" s="91" t="s">
        <v>89</v>
      </c>
      <c r="C4" s="102">
        <v>1</v>
      </c>
      <c r="D4" s="92">
        <f>COUNT(C4:C4)</f>
        <v>1</v>
      </c>
      <c r="E4" s="43"/>
      <c r="F4" s="43"/>
      <c r="G4" s="43"/>
      <c r="H4" s="43"/>
      <c r="I4" s="43"/>
      <c r="J4" s="43"/>
      <c r="K4" s="43"/>
      <c r="L4" s="43"/>
    </row>
    <row r="5" spans="2:47">
      <c r="B5" s="91" t="s">
        <v>30</v>
      </c>
      <c r="C5" s="102">
        <v>1</v>
      </c>
      <c r="D5" s="92">
        <f>SUM(C5:C5)</f>
        <v>1</v>
      </c>
    </row>
    <row r="6" spans="2:47">
      <c r="B6" s="91" t="s">
        <v>68</v>
      </c>
      <c r="C6" s="102">
        <v>23.2</v>
      </c>
      <c r="D6" s="92">
        <f>SUM(C6:C6)</f>
        <v>23.2</v>
      </c>
    </row>
    <row r="7" spans="2:47">
      <c r="B7" s="91" t="s">
        <v>56</v>
      </c>
      <c r="C7" s="102"/>
    </row>
    <row r="8" spans="2:47">
      <c r="B8" s="91" t="s">
        <v>90</v>
      </c>
      <c r="C8" s="102">
        <v>8.4000000000000005E-2</v>
      </c>
      <c r="D8" s="92">
        <f>SUM(C8:C8)</f>
        <v>8.4000000000000005E-2</v>
      </c>
    </row>
    <row r="9" spans="2:47" s="1" customFormat="1">
      <c r="B9" s="94"/>
      <c r="C9" s="2"/>
      <c r="D9" s="95"/>
      <c r="E9" s="2"/>
      <c r="F9" s="2"/>
      <c r="G9" s="2"/>
      <c r="H9" s="2"/>
      <c r="I9" s="2"/>
      <c r="J9" s="2"/>
      <c r="K9" s="2"/>
      <c r="L9" s="2"/>
    </row>
    <row r="10" spans="2:47">
      <c r="C10" s="93">
        <v>1</v>
      </c>
    </row>
    <row r="11" spans="2:47" ht="15" customHeight="1">
      <c r="B11" s="87" t="s">
        <v>64</v>
      </c>
      <c r="C11" s="87" t="s">
        <v>92</v>
      </c>
      <c r="D11" s="98" t="s">
        <v>8</v>
      </c>
      <c r="J11" s="1"/>
      <c r="K11" s="1"/>
      <c r="L11" s="1"/>
      <c r="AQ11"/>
      <c r="AR11"/>
      <c r="AS11"/>
      <c r="AT11"/>
      <c r="AU11"/>
    </row>
    <row r="12" spans="2:47" ht="15" hidden="1" customHeight="1">
      <c r="B12" s="5" t="s">
        <v>69</v>
      </c>
      <c r="C12" s="7"/>
      <c r="D12" s="99">
        <f>SUM(C12:C12)</f>
        <v>0</v>
      </c>
      <c r="J12" s="1"/>
      <c r="K12" s="1"/>
      <c r="L12" s="1"/>
      <c r="AQ12"/>
      <c r="AR12"/>
      <c r="AS12"/>
      <c r="AT12"/>
      <c r="AU12"/>
    </row>
    <row r="13" spans="2:47" ht="15" hidden="1" customHeight="1">
      <c r="B13" s="5" t="s">
        <v>68</v>
      </c>
      <c r="C13" s="86"/>
      <c r="D13" s="100">
        <f>SUM(C13:C13)</f>
        <v>0</v>
      </c>
      <c r="J13" s="1"/>
      <c r="K13" s="1"/>
      <c r="L13" s="1"/>
      <c r="AQ13"/>
      <c r="AR13"/>
      <c r="AS13"/>
      <c r="AT13"/>
      <c r="AU13"/>
    </row>
    <row r="14" spans="2:47" ht="15" hidden="1" customHeight="1">
      <c r="B14" s="5" t="s">
        <v>63</v>
      </c>
      <c r="C14" s="85"/>
      <c r="D14" s="101">
        <f>SUM(C14:C14)</f>
        <v>0</v>
      </c>
      <c r="E14" s="1"/>
      <c r="H14" s="1"/>
      <c r="I14" s="1"/>
      <c r="J14" s="1"/>
      <c r="K14" s="1"/>
      <c r="L14" s="1"/>
      <c r="AI14"/>
      <c r="AJ14"/>
      <c r="AK14"/>
      <c r="AL14"/>
      <c r="AM14"/>
      <c r="AN14"/>
      <c r="AO14"/>
      <c r="AP14"/>
      <c r="AQ14"/>
      <c r="AR14"/>
      <c r="AS14"/>
      <c r="AT14"/>
      <c r="AU14"/>
    </row>
    <row r="15" spans="2:47" ht="15" customHeight="1">
      <c r="B15" s="84" t="s">
        <v>0</v>
      </c>
      <c r="C15" s="97">
        <v>12.2</v>
      </c>
      <c r="D15" s="1"/>
      <c r="E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AI15"/>
      <c r="AJ15"/>
      <c r="AK15"/>
      <c r="AL15"/>
      <c r="AM15"/>
      <c r="AN15"/>
      <c r="AO15"/>
      <c r="AP15"/>
      <c r="AQ15"/>
      <c r="AR15"/>
      <c r="AS15"/>
      <c r="AT15"/>
      <c r="AU15"/>
    </row>
    <row r="16" spans="2:47" ht="15" hidden="1" customHeight="1">
      <c r="B16" s="54" t="s">
        <v>53</v>
      </c>
      <c r="C16" s="55"/>
      <c r="D16" s="1"/>
      <c r="E16" s="3"/>
      <c r="G16" s="2">
        <f>'1'!E11</f>
        <v>0</v>
      </c>
      <c r="H16" s="3"/>
      <c r="I16" s="3"/>
      <c r="J16" s="77">
        <v>0.4</v>
      </c>
      <c r="K16" s="3"/>
      <c r="L16" s="3"/>
      <c r="M16" s="3"/>
      <c r="N16" s="3"/>
      <c r="O16" s="3"/>
      <c r="P16" s="3"/>
      <c r="Q16" s="3"/>
      <c r="R16" s="3"/>
      <c r="AI16"/>
      <c r="AJ16"/>
      <c r="AK16"/>
      <c r="AL16"/>
      <c r="AM16"/>
      <c r="AN16"/>
      <c r="AO16"/>
      <c r="AP16"/>
      <c r="AQ16"/>
      <c r="AR16"/>
      <c r="AS16"/>
      <c r="AT16"/>
      <c r="AU16"/>
    </row>
    <row r="17" spans="2:48">
      <c r="B17" s="28" t="s">
        <v>1</v>
      </c>
      <c r="C17" s="96">
        <v>100</v>
      </c>
      <c r="D17" s="99">
        <f>SUM(C17:C17)</f>
        <v>100</v>
      </c>
      <c r="E17" s="1"/>
      <c r="G17" s="1"/>
      <c r="H17" s="1"/>
      <c r="I17" s="1"/>
      <c r="J17" s="1"/>
      <c r="K17" s="1"/>
      <c r="L17" s="1"/>
      <c r="AI17"/>
      <c r="AJ17"/>
      <c r="AK17"/>
      <c r="AL17"/>
      <c r="AM17"/>
      <c r="AN17"/>
      <c r="AO17"/>
      <c r="AP17"/>
      <c r="AQ17"/>
      <c r="AR17"/>
      <c r="AS17"/>
      <c r="AT17"/>
      <c r="AU17"/>
    </row>
    <row r="18" spans="2:48">
      <c r="B18" s="17" t="s">
        <v>138</v>
      </c>
      <c r="C18" s="18">
        <f>C15*C17</f>
        <v>1220</v>
      </c>
      <c r="D18" s="18">
        <f>SUM(C18:C18)</f>
        <v>1220</v>
      </c>
      <c r="E18" s="1"/>
      <c r="J18" s="1"/>
      <c r="K18" s="1"/>
      <c r="L18" s="1"/>
      <c r="AI18"/>
      <c r="AJ18"/>
      <c r="AK18"/>
      <c r="AL18"/>
      <c r="AM18"/>
      <c r="AN18"/>
      <c r="AO18"/>
      <c r="AP18"/>
      <c r="AQ18"/>
      <c r="AR18"/>
      <c r="AS18"/>
      <c r="AT18"/>
      <c r="AU18"/>
    </row>
    <row r="19" spans="2:48" ht="16.5" hidden="1" customHeight="1">
      <c r="B19" s="56" t="s">
        <v>2</v>
      </c>
      <c r="C19" s="57">
        <f>(MAX(C15:C16))*C17</f>
        <v>1220</v>
      </c>
      <c r="D19" s="57">
        <f>SUM(C19:C19)</f>
        <v>1220</v>
      </c>
      <c r="E19" s="1"/>
      <c r="J19" s="1"/>
      <c r="K19" s="1"/>
      <c r="L19" s="1"/>
      <c r="AI19"/>
      <c r="AJ19"/>
      <c r="AK19"/>
      <c r="AL19"/>
      <c r="AM19"/>
      <c r="AN19"/>
      <c r="AO19"/>
      <c r="AP19"/>
      <c r="AQ19"/>
      <c r="AR19"/>
      <c r="AS19"/>
      <c r="AT19"/>
      <c r="AU19"/>
    </row>
    <row r="20" spans="2:48" ht="15" customHeight="1">
      <c r="B20" s="5" t="s">
        <v>3</v>
      </c>
      <c r="C20" s="8">
        <f>C18/$D$18</f>
        <v>1</v>
      </c>
      <c r="D20" s="7" t="s">
        <v>8</v>
      </c>
      <c r="E20" s="30"/>
      <c r="J20" s="1"/>
      <c r="K20" s="1"/>
      <c r="L20" s="1"/>
      <c r="AI20"/>
      <c r="AJ20"/>
      <c r="AK20"/>
      <c r="AL20"/>
      <c r="AM20"/>
      <c r="AN20"/>
      <c r="AO20"/>
      <c r="AP20"/>
      <c r="AQ20"/>
      <c r="AR20"/>
      <c r="AS20"/>
      <c r="AT20"/>
      <c r="AU20"/>
    </row>
    <row r="21" spans="2:48" ht="15" customHeight="1">
      <c r="B21" s="144" t="s">
        <v>129</v>
      </c>
      <c r="C21" s="145">
        <v>0</v>
      </c>
      <c r="D21" s="145">
        <v>0</v>
      </c>
      <c r="E21" s="30"/>
      <c r="J21" s="1"/>
      <c r="K21" s="1"/>
      <c r="L21" s="1"/>
      <c r="AI21"/>
      <c r="AJ21"/>
      <c r="AK21"/>
      <c r="AL21"/>
      <c r="AM21"/>
      <c r="AN21"/>
      <c r="AO21"/>
      <c r="AP21"/>
      <c r="AQ21"/>
      <c r="AR21"/>
      <c r="AS21"/>
      <c r="AT21"/>
      <c r="AU21"/>
    </row>
    <row r="22" spans="2:48">
      <c r="B22" s="28" t="s">
        <v>4</v>
      </c>
      <c r="C22" s="6" t="e">
        <f>$D$22*C20</f>
        <v>#REF!</v>
      </c>
      <c r="D22" s="29" t="e">
        <f>IF(#REF!=0,IF('1'!E11="NUEVO",'2'!#REF!*60%,IF('1'!E11="ANTIGUO",'2'!#REF!*60%,IF('1'!E11="SOCIO",60%*(250*'1'!I11),IF('1'!E11="PILOTO",60%*(250*'1'!I11),IF('2'!#REF!&gt;0,60%*(250*'1'!I11),IF('1'!E11="MANUAL",60%*(IF('1'!#REF!&gt;250,('1'!#REF!*'1'!I11),IF('1'!#REF!&lt;=250,(250*'1'!I11)))))))))),IF(#REF!&lt;=250,(250*'1'!I11)*60%,#REF!*60%))</f>
        <v>#REF!</v>
      </c>
      <c r="E22" s="77"/>
      <c r="F22" s="198"/>
      <c r="G22" s="48"/>
      <c r="H22" s="1"/>
      <c r="I22" s="1"/>
      <c r="J22" s="1"/>
      <c r="K22" s="1"/>
      <c r="L22" s="1"/>
      <c r="AI22"/>
      <c r="AJ22"/>
      <c r="AK22"/>
      <c r="AL22"/>
      <c r="AM22"/>
      <c r="AN22"/>
      <c r="AO22"/>
      <c r="AP22"/>
      <c r="AQ22"/>
      <c r="AR22"/>
      <c r="AS22"/>
      <c r="AT22"/>
      <c r="AU22"/>
    </row>
    <row r="23" spans="2:48">
      <c r="B23" s="17" t="s">
        <v>5</v>
      </c>
      <c r="C23" s="18" t="e">
        <f>C18+C22</f>
        <v>#REF!</v>
      </c>
      <c r="D23" s="18" t="e">
        <f>SUM(C23:C24)</f>
        <v>#REF!</v>
      </c>
      <c r="E23" s="1"/>
      <c r="F23" s="198"/>
      <c r="G23" s="48"/>
      <c r="H23" s="1"/>
      <c r="I23" s="76"/>
      <c r="J23" s="1"/>
      <c r="K23" s="1"/>
      <c r="L23" s="1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</row>
    <row r="24" spans="2:48" ht="14.25" hidden="1" customHeight="1">
      <c r="B24" s="56" t="s">
        <v>54</v>
      </c>
      <c r="C24" s="57" t="e">
        <f>C19+C22</f>
        <v>#REF!</v>
      </c>
      <c r="D24" s="57" t="e">
        <f>SUM(C24:C24)</f>
        <v>#REF!</v>
      </c>
      <c r="E24" s="1"/>
      <c r="G24" s="48"/>
      <c r="H24" s="1"/>
      <c r="I24" s="30"/>
      <c r="J24" s="1"/>
      <c r="K24" s="1"/>
      <c r="L24" s="1"/>
      <c r="AI24"/>
      <c r="AJ24"/>
      <c r="AK24"/>
      <c r="AL24"/>
      <c r="AM24"/>
      <c r="AN24"/>
      <c r="AO24"/>
      <c r="AP24"/>
      <c r="AQ24"/>
      <c r="AR24"/>
      <c r="AS24"/>
      <c r="AT24"/>
      <c r="AU24"/>
    </row>
    <row r="25" spans="2:48" ht="14.25" customHeight="1">
      <c r="B25" s="28" t="s">
        <v>6</v>
      </c>
      <c r="C25" s="6">
        <f>$D$25*C20</f>
        <v>50</v>
      </c>
      <c r="D25" s="29">
        <f>IF(D18&lt;5000,50,100)</f>
        <v>50</v>
      </c>
      <c r="E25" s="1"/>
      <c r="G25" s="48"/>
      <c r="H25" s="1"/>
      <c r="I25" s="1"/>
      <c r="J25" s="1"/>
      <c r="K25" s="1"/>
      <c r="L25" s="1"/>
      <c r="AI25"/>
      <c r="AJ25"/>
      <c r="AK25"/>
      <c r="AL25"/>
      <c r="AM25"/>
      <c r="AN25"/>
      <c r="AO25"/>
      <c r="AP25"/>
      <c r="AQ25"/>
      <c r="AR25"/>
      <c r="AS25"/>
      <c r="AT25"/>
      <c r="AU25"/>
    </row>
    <row r="26" spans="2:48">
      <c r="B26" s="17" t="s">
        <v>7</v>
      </c>
      <c r="C26" s="18" t="e">
        <f t="shared" ref="C26" si="0">C23+C25</f>
        <v>#REF!</v>
      </c>
      <c r="D26" s="18" t="e">
        <f>SUM(C26:C27)</f>
        <v>#REF!</v>
      </c>
      <c r="E26" s="1"/>
      <c r="G26" s="48"/>
      <c r="H26" s="1"/>
      <c r="I26" s="1"/>
      <c r="J26" s="1"/>
      <c r="K26" s="1"/>
      <c r="L26" s="1"/>
      <c r="AN26"/>
      <c r="AO26"/>
      <c r="AP26"/>
      <c r="AQ26"/>
      <c r="AR26"/>
      <c r="AS26"/>
      <c r="AT26"/>
      <c r="AU26"/>
    </row>
    <row r="27" spans="2:48" ht="18.75" hidden="1" customHeight="1">
      <c r="B27" s="56" t="s">
        <v>55</v>
      </c>
      <c r="C27" s="57" t="e">
        <f>C24+C25</f>
        <v>#REF!</v>
      </c>
      <c r="D27" s="57" t="e">
        <f>SUM(C27:C27)</f>
        <v>#REF!</v>
      </c>
      <c r="G27" s="48"/>
    </row>
    <row r="28" spans="2:48">
      <c r="G28" s="48"/>
    </row>
    <row r="29" spans="2:48">
      <c r="B29" s="200" t="s">
        <v>11</v>
      </c>
      <c r="C29" s="200"/>
      <c r="D29" s="200"/>
      <c r="E29" s="200"/>
      <c r="F29" s="200"/>
      <c r="G29" s="200"/>
      <c r="H29" s="200"/>
      <c r="I29" s="200"/>
      <c r="J29" s="200"/>
      <c r="K29" s="200"/>
      <c r="L29" s="200"/>
    </row>
    <row r="31" spans="2:48">
      <c r="C31" s="50"/>
      <c r="M31" s="2"/>
      <c r="AV31" s="1"/>
    </row>
    <row r="32" spans="2:48">
      <c r="B32" s="51" t="s">
        <v>40</v>
      </c>
      <c r="C32" s="52">
        <f>C17*C31</f>
        <v>0</v>
      </c>
      <c r="D32" s="52">
        <f>SUM(C32:C32)</f>
        <v>0</v>
      </c>
      <c r="M32" s="2"/>
      <c r="AV32" s="1"/>
    </row>
    <row r="33" spans="1:47">
      <c r="G33" s="104"/>
    </row>
    <row r="34" spans="1:47">
      <c r="C34" s="11">
        <v>0</v>
      </c>
      <c r="D34" s="9" t="s">
        <v>8</v>
      </c>
      <c r="E34" s="1"/>
      <c r="F34" s="1"/>
      <c r="G34" s="1"/>
      <c r="H34" s="199"/>
      <c r="I34" s="199"/>
      <c r="J34" s="1"/>
      <c r="K34" s="1"/>
      <c r="L34" s="1"/>
      <c r="AN34"/>
      <c r="AO34"/>
      <c r="AP34"/>
      <c r="AQ34"/>
      <c r="AR34"/>
      <c r="AS34"/>
      <c r="AT34"/>
      <c r="AU34"/>
    </row>
    <row r="35" spans="1:47">
      <c r="B35" s="9" t="s">
        <v>9</v>
      </c>
      <c r="C35" s="6" t="e">
        <f>MAX(C26:C27)*C34</f>
        <v>#REF!</v>
      </c>
      <c r="D35" s="10" t="e">
        <f>SUM(C35:C35)</f>
        <v>#REF!</v>
      </c>
      <c r="E35" s="1"/>
      <c r="F35" s="1"/>
      <c r="G35" s="1"/>
      <c r="H35" s="199"/>
      <c r="I35" s="199"/>
      <c r="J35" s="1"/>
      <c r="K35" s="1"/>
      <c r="L35" s="1"/>
      <c r="AN35"/>
      <c r="AO35"/>
      <c r="AP35"/>
      <c r="AQ35"/>
      <c r="AR35"/>
      <c r="AS35"/>
      <c r="AT35"/>
      <c r="AU35"/>
    </row>
    <row r="36" spans="1:47">
      <c r="A36" s="115"/>
      <c r="B36" s="146"/>
      <c r="C36" s="147">
        <v>0</v>
      </c>
      <c r="D36" s="147">
        <v>0</v>
      </c>
      <c r="E36" s="151"/>
      <c r="F36" s="151"/>
      <c r="G36" s="115"/>
      <c r="H36" s="115"/>
      <c r="I36" s="115"/>
      <c r="J36" s="148"/>
      <c r="K36" s="148"/>
      <c r="L36" s="115"/>
      <c r="M36" s="115"/>
      <c r="N36" s="115"/>
      <c r="O36" s="115"/>
      <c r="P36" s="115"/>
      <c r="Q36" s="115"/>
      <c r="R36" s="115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</row>
    <row r="37" spans="1:47">
      <c r="A37" s="115"/>
      <c r="B37" s="149" t="s">
        <v>130</v>
      </c>
      <c r="C37" s="150" t="e">
        <f>ROUND((MAX(C26:C27)+C35)*C36,10)</f>
        <v>#REF!</v>
      </c>
      <c r="D37" s="154" t="e">
        <f>ROUND((MAX(D26:D27)+D35)*D36,10)</f>
        <v>#REF!</v>
      </c>
      <c r="E37" s="152"/>
      <c r="F37" s="153"/>
      <c r="G37" s="115"/>
      <c r="H37" s="115"/>
      <c r="I37" s="115"/>
      <c r="J37" s="148"/>
      <c r="K37" s="148"/>
      <c r="L37" s="115"/>
      <c r="M37" s="115"/>
      <c r="N37" s="115"/>
      <c r="O37" s="115"/>
      <c r="P37" s="115"/>
      <c r="Q37" s="115"/>
      <c r="R37" s="115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</row>
    <row r="38" spans="1:47" s="14" customFormat="1">
      <c r="A38" s="12"/>
      <c r="B38" s="16" t="s">
        <v>13</v>
      </c>
      <c r="C38" s="13" t="e">
        <f>((MAX(C26:C27))+C35)*16%</f>
        <v>#REF!</v>
      </c>
      <c r="D38" s="10" t="e">
        <f>SUM(C38:C38)</f>
        <v>#REF!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</row>
    <row r="39" spans="1:47" s="14" customFormat="1">
      <c r="A39" s="12"/>
      <c r="B39" s="16" t="s">
        <v>14</v>
      </c>
      <c r="C39" s="15" t="e">
        <f t="shared" ref="C39" si="1">((MAX(C26:C27))+C35)*2%</f>
        <v>#REF!</v>
      </c>
      <c r="D39" s="10" t="e">
        <f>SUM(C39:C39)</f>
        <v>#REF!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</row>
    <row r="40" spans="1:47" s="14" customFormat="1">
      <c r="A40" s="12"/>
      <c r="B40" s="16" t="s">
        <v>10</v>
      </c>
      <c r="C40" s="15" t="e">
        <f t="shared" ref="C40" si="2">(C26+C35+C38+C39)*3.5%</f>
        <v>#REF!</v>
      </c>
      <c r="D40" s="10" t="e">
        <f>SUM(C40:C40)</f>
        <v>#REF!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</row>
    <row r="41" spans="1:47">
      <c r="B41" s="19" t="s">
        <v>8</v>
      </c>
      <c r="C41" s="20" t="e">
        <f t="shared" ref="C41" si="3">SUM(C35:C40)</f>
        <v>#REF!</v>
      </c>
      <c r="D41" s="18" t="e">
        <f>SUM(C41:C41)</f>
        <v>#REF!</v>
      </c>
      <c r="E41" s="1"/>
      <c r="F41" s="1"/>
      <c r="G41" s="1"/>
      <c r="H41" s="1"/>
      <c r="I41" s="1"/>
      <c r="J41" s="1"/>
      <c r="K41" s="1"/>
      <c r="L41" s="1"/>
      <c r="AN41"/>
      <c r="AO41"/>
      <c r="AP41"/>
      <c r="AQ41"/>
      <c r="AR41"/>
      <c r="AS41"/>
      <c r="AT41"/>
      <c r="AU41"/>
    </row>
    <row r="42" spans="1:47">
      <c r="J42" s="1"/>
      <c r="K42" s="3"/>
      <c r="L42" s="1"/>
      <c r="AS42"/>
      <c r="AT42"/>
      <c r="AU42"/>
    </row>
    <row r="43" spans="1:47">
      <c r="O43" s="24" t="s">
        <v>21</v>
      </c>
      <c r="P43" s="24">
        <v>3.7</v>
      </c>
    </row>
    <row r="45" spans="1:47">
      <c r="B45" s="197" t="s">
        <v>16</v>
      </c>
      <c r="C45" s="197"/>
      <c r="D45" s="197"/>
      <c r="E45" s="197"/>
      <c r="F45" s="197"/>
      <c r="G45" s="197"/>
      <c r="H45" s="197"/>
      <c r="I45" s="197"/>
      <c r="J45" s="197"/>
      <c r="K45" s="197"/>
      <c r="L45" s="197"/>
    </row>
    <row r="47" spans="1:47">
      <c r="C47" s="21">
        <f>+C20</f>
        <v>1</v>
      </c>
      <c r="D47" s="7" t="s">
        <v>8</v>
      </c>
      <c r="E47" s="1"/>
      <c r="F47" s="1"/>
      <c r="G47" s="1"/>
      <c r="H47" s="1"/>
      <c r="I47" s="1"/>
      <c r="J47" s="1"/>
      <c r="K47" s="1"/>
      <c r="L47" s="1"/>
      <c r="AN47"/>
      <c r="AO47"/>
      <c r="AP47"/>
      <c r="AQ47"/>
      <c r="AR47"/>
      <c r="AS47"/>
      <c r="AT47"/>
      <c r="AU47"/>
    </row>
    <row r="48" spans="1:47">
      <c r="B48" s="28" t="s">
        <v>15</v>
      </c>
      <c r="C48" s="23" t="e">
        <f>$D$48*C47</f>
        <v>#REF!</v>
      </c>
      <c r="D48" s="29" t="e">
        <f>IF(#REF!=0,IF('1'!E11="NUEVO",'2'!#REF!*40%,IF('1'!E11="ANTIGUO",'2'!#REF!*40%,IF('1'!E11="SOCIO",40%*(250*'1'!I11),IF('1'!E11="PILOTO",40%*(250*'1'!I11),IF('2'!#REF!&gt;0,40%*(250*'1'!I11),IF('1'!E11="MANUAL",40%*(IF('1'!#REF!&gt;250,('1'!#REF!*'1'!I11),IF('1'!#REF!&lt;=250,(250*'1'!I11)))))))))),IF(#REF!&lt;=250,(250*'1'!I11)*40%,#REF!*40%))</f>
        <v>#REF!</v>
      </c>
      <c r="E48" s="77"/>
      <c r="F48" s="1"/>
      <c r="G48" s="1"/>
      <c r="H48" s="1"/>
      <c r="I48" s="1"/>
      <c r="J48" s="1"/>
      <c r="K48" s="1"/>
      <c r="L48" s="1"/>
      <c r="AN48"/>
      <c r="AO48"/>
      <c r="AP48"/>
      <c r="AQ48"/>
      <c r="AR48"/>
      <c r="AS48"/>
      <c r="AT48"/>
      <c r="AU48"/>
    </row>
    <row r="49" spans="2:47" s="1" customFormat="1">
      <c r="C49" s="4"/>
      <c r="D49" s="4"/>
      <c r="E49" s="4"/>
      <c r="F49" s="4"/>
      <c r="G49" s="4"/>
    </row>
    <row r="51" spans="2:47">
      <c r="B51" s="88" t="s">
        <v>17</v>
      </c>
      <c r="C51" s="88"/>
      <c r="D51" s="88"/>
      <c r="E51" s="88"/>
      <c r="F51" s="88"/>
      <c r="G51" s="88"/>
      <c r="H51" s="88"/>
      <c r="I51" s="88"/>
      <c r="J51" s="88"/>
      <c r="K51" s="88"/>
      <c r="L51" s="88"/>
    </row>
    <row r="53" spans="2:47">
      <c r="B53" s="27" t="s">
        <v>15</v>
      </c>
      <c r="C53" s="7" t="str">
        <f t="shared" ref="C53" si="4">C11</f>
        <v>BASE DE LAMPARA LED</v>
      </c>
      <c r="E53" s="1"/>
      <c r="F53" s="1"/>
      <c r="G53" s="1"/>
      <c r="H53" s="1"/>
      <c r="I53" s="1"/>
      <c r="J53" s="1"/>
      <c r="K53" s="1"/>
      <c r="L53" s="1"/>
      <c r="AN53"/>
      <c r="AO53"/>
      <c r="AP53"/>
      <c r="AQ53"/>
      <c r="AR53"/>
      <c r="AS53"/>
      <c r="AT53"/>
      <c r="AU53"/>
    </row>
    <row r="54" spans="2:47">
      <c r="B54" s="28" t="s">
        <v>19</v>
      </c>
      <c r="C54" s="23" t="e">
        <f>C18+C41+C32+'2'!C20*('1'!#REF!)</f>
        <v>#REF!</v>
      </c>
      <c r="D54" s="23" t="e">
        <f>SUM(C54:C54)</f>
        <v>#REF!</v>
      </c>
      <c r="E54" s="1"/>
      <c r="F54" s="1"/>
      <c r="G54" s="1"/>
      <c r="H54" s="1"/>
      <c r="I54" s="1"/>
      <c r="J54" s="1"/>
      <c r="K54" s="1"/>
      <c r="L54" s="1"/>
      <c r="AN54"/>
      <c r="AO54"/>
      <c r="AP54"/>
      <c r="AQ54"/>
      <c r="AR54"/>
      <c r="AS54"/>
      <c r="AT54"/>
      <c r="AU54"/>
    </row>
    <row r="55" spans="2:47">
      <c r="B55" s="5" t="s">
        <v>1</v>
      </c>
      <c r="C55" s="25">
        <f>+C17</f>
        <v>100</v>
      </c>
      <c r="E55" s="1"/>
      <c r="F55" s="1"/>
      <c r="G55" s="1"/>
      <c r="H55" s="1"/>
      <c r="I55" s="1"/>
      <c r="J55" s="1"/>
      <c r="K55" s="1"/>
      <c r="L55" s="1"/>
      <c r="AN55"/>
      <c r="AO55"/>
      <c r="AP55"/>
      <c r="AQ55"/>
      <c r="AR55"/>
      <c r="AS55"/>
      <c r="AT55"/>
      <c r="AU55"/>
    </row>
    <row r="56" spans="2:47">
      <c r="B56" s="22" t="s">
        <v>18</v>
      </c>
      <c r="C56" s="23" t="e">
        <f t="shared" ref="C56" si="5">C54/C55</f>
        <v>#REF!</v>
      </c>
      <c r="E56" s="1"/>
      <c r="F56" s="1"/>
      <c r="G56" s="1"/>
      <c r="H56" s="1"/>
      <c r="I56" s="1"/>
      <c r="J56" s="1"/>
      <c r="K56" s="1"/>
      <c r="L56" s="1"/>
      <c r="AN56"/>
      <c r="AO56"/>
      <c r="AP56"/>
      <c r="AQ56"/>
      <c r="AR56"/>
      <c r="AS56"/>
      <c r="AT56"/>
      <c r="AU56"/>
    </row>
    <row r="57" spans="2:47">
      <c r="B57" s="5" t="s">
        <v>20</v>
      </c>
      <c r="C57" s="26" t="e">
        <f>C56*$P$43</f>
        <v>#REF!</v>
      </c>
      <c r="E57" s="1"/>
      <c r="F57" s="1"/>
      <c r="G57" s="1"/>
      <c r="H57" s="1"/>
      <c r="I57" s="1"/>
      <c r="J57" s="1"/>
      <c r="K57" s="1"/>
      <c r="L57" s="1"/>
      <c r="AN57"/>
      <c r="AO57"/>
      <c r="AP57"/>
      <c r="AQ57"/>
      <c r="AR57"/>
      <c r="AS57"/>
      <c r="AT57"/>
      <c r="AU57"/>
    </row>
  </sheetData>
  <mergeCells count="5">
    <mergeCell ref="B1:L1"/>
    <mergeCell ref="B45:L45"/>
    <mergeCell ref="F22:F23"/>
    <mergeCell ref="H34:I35"/>
    <mergeCell ref="B29:L29"/>
  </mergeCells>
  <phoneticPr fontId="17" type="noConversion"/>
  <pageMargins left="0.7" right="0.7" top="0.75" bottom="0.75" header="0.3" footer="0.3"/>
  <pageSetup orientation="portrait" r:id="rId1"/>
  <cellWatches>
    <cellWatch r="D41"/>
  </cellWatch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1</vt:lpstr>
      <vt:lpstr>2</vt:lpstr>
      <vt:lpstr>'1'!Área_de_impresión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Lenovo</cp:lastModifiedBy>
  <cp:lastPrinted>2025-10-13T20:11:36Z</cp:lastPrinted>
  <dcterms:created xsi:type="dcterms:W3CDTF">2022-02-19T20:43:21Z</dcterms:created>
  <dcterms:modified xsi:type="dcterms:W3CDTF">2026-08-19T21:54:15Z</dcterms:modified>
</cp:coreProperties>
</file>