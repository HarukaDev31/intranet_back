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639EDD23-8386-46E0-ADE4-B3885F67EB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C50" i="1"/>
  <c r="M20" i="1" l="1"/>
  <c r="N17" i="1"/>
  <c r="N18" i="1"/>
  <c r="N20" i="1"/>
  <c r="J23" i="2"/>
  <c r="D19" i="1"/>
  <c r="C20" i="1" l="1"/>
  <c r="N21" i="2" l="1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O41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O44" i="2" s="1"/>
  <c r="J34" i="2"/>
  <c r="C53" i="1"/>
  <c r="D51" i="1"/>
  <c r="C54" i="1" l="1"/>
  <c r="I3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<sst xmlns="http://schemas.openxmlformats.org/spreadsheetml/2006/main" count="197" uniqueCount="147">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</sst>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3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10" fillId="0" borderId="0" xfId="0" applyFont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7" fillId="2" borderId="0" xfId="0" applyNumberFormat="1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22" fillId="2" borderId="0" xfId="0" applyFont="1" applyFill="1"/>
    <xf numFmtId="0" fontId="23" fillId="2" borderId="0" xfId="0" applyFont="1" applyFill="1"/>
    <xf numFmtId="174" fontId="18" fillId="2" borderId="0" xfId="0" applyNumberFormat="1" applyFont="1" applyFill="1"/>
    <xf numFmtId="0" fontId="0" fillId="4" borderId="14" xfId="0" applyFill="1" applyBorder="1"/>
    <xf numFmtId="170" fontId="8" fillId="2" borderId="1" xfId="0" applyNumberFormat="1" applyFont="1" applyFill="1" applyBorder="1" applyAlignment="1">
      <alignment horizontal="center"/>
    </xf>
    <xf numFmtId="172" fontId="8" fillId="2" borderId="1" xfId="0" applyNumberFormat="1" applyFont="1" applyFill="1" applyBorder="1" applyAlignment="1">
      <alignment horizontal="center"/>
    </xf>
    <xf numFmtId="0" fontId="25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1" xfId="0" applyFill="1" applyBorder="1" applyAlignment="1">
      <alignment horizontal="center" vertical="center" wrapText="1"/>
    </xf>
    <xf numFmtId="0" fontId="26" fillId="2" borderId="0" xfId="0" applyFont="1" applyFill="1" applyAlignment="1">
      <alignment vertical="center"/>
    </xf>
    <xf numFmtId="168" fontId="27" fillId="2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5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5" fillId="10" borderId="22" xfId="0" applyFont="1" applyFill="1" applyBorder="1" applyAlignment="1">
      <alignment horizontal="center"/>
    </xf>
    <xf numFmtId="0" fontId="25" fillId="10" borderId="14" xfId="0" applyFont="1" applyFill="1" applyBorder="1" applyAlignment="1">
      <alignment horizont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7" fillId="13" borderId="1" xfId="0" applyNumberFormat="1" applyFont="1" applyFill="1" applyBorder="1" applyAlignment="1">
      <alignment horizontal="center" vertical="center"/>
    </xf>
    <xf numFmtId="0" fontId="34" fillId="0" borderId="1" xfId="13" applyFont="1" applyBorder="1" applyAlignment="1">
      <alignment horizontal="center" vertical="center"/>
    </xf>
    <xf numFmtId="179" fontId="34" fillId="0" borderId="1" xfId="13" applyNumberFormat="1" applyFont="1" applyBorder="1" applyAlignment="1">
      <alignment horizontal="center" vertical="center"/>
    </xf>
    <xf numFmtId="0" fontId="25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8" fillId="9" borderId="5" xfId="0" applyNumberFormat="1" applyFont="1" applyFill="1" applyBorder="1" applyAlignment="1">
      <alignment horizontal="center"/>
    </xf>
    <xf numFmtId="170" fontId="8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35" fillId="2" borderId="0" xfId="0" applyFont="1" applyFill="1"/>
    <xf numFmtId="168" fontId="35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36" fillId="2" borderId="1" xfId="0" applyFont="1" applyFill="1" applyBorder="1"/>
    <xf numFmtId="168" fontId="0" fillId="2" borderId="0" xfId="0" applyNumberFormat="1" applyFill="1"/>
    <xf numFmtId="0" fontId="37" fillId="2" borderId="0" xfId="0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39" fillId="2" borderId="0" xfId="0" applyFont="1" applyFill="1" applyAlignment="1">
      <alignment horizontal="center"/>
    </xf>
    <xf numFmtId="0" fontId="38" fillId="2" borderId="0" xfId="0" applyFont="1" applyFill="1"/>
    <xf numFmtId="165" fontId="37" fillId="2" borderId="7" xfId="0" applyNumberFormat="1" applyFont="1" applyFill="1" applyBorder="1"/>
    <xf numFmtId="0" fontId="39" fillId="2" borderId="0" xfId="0" applyFont="1" applyFill="1" applyAlignment="1">
      <alignment horizontal="right"/>
    </xf>
    <xf numFmtId="2" fontId="37" fillId="2" borderId="0" xfId="0" applyNumberFormat="1" applyFont="1" applyFill="1" applyAlignment="1">
      <alignment horizontal="left"/>
    </xf>
    <xf numFmtId="0" fontId="0" fillId="2" borderId="1" xfId="0" applyFill="1" applyBorder="1" applyAlignment="1">
      <alignment horizontal="center" vertic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3" fontId="31" fillId="11" borderId="18" xfId="0" applyNumberFormat="1" applyFont="1" applyFill="1" applyBorder="1" applyAlignment="1">
      <alignment horizontal="center" vertical="center" wrapText="1"/>
    </xf>
    <xf numFmtId="173" fontId="31" fillId="11" borderId="19" xfId="0" applyNumberFormat="1" applyFont="1" applyFill="1" applyBorder="1" applyAlignment="1">
      <alignment horizontal="center" vertical="center" wrapText="1"/>
    </xf>
    <xf numFmtId="0" fontId="29" fillId="11" borderId="1" xfId="0" applyFont="1" applyFill="1" applyBorder="1" applyAlignment="1">
      <alignment horizontal="center" vertical="center"/>
    </xf>
    <xf numFmtId="0" fontId="29" fillId="11" borderId="15" xfId="0" applyFont="1" applyFill="1" applyBorder="1" applyAlignment="1">
      <alignment horizontal="center" vertical="center"/>
    </xf>
    <xf numFmtId="173" fontId="31" fillId="11" borderId="0" xfId="0" applyNumberFormat="1" applyFont="1" applyFill="1" applyAlignment="1">
      <alignment horizontal="center" vertical="center" wrapText="1"/>
    </xf>
    <xf numFmtId="173" fontId="31" fillId="11" borderId="2" xfId="0" applyNumberFormat="1" applyFont="1" applyFill="1" applyBorder="1" applyAlignment="1">
      <alignment horizontal="center" vertical="center" wrapText="1"/>
    </xf>
    <xf numFmtId="173" fontId="31" fillId="11" borderId="20" xfId="0" applyNumberFormat="1" applyFont="1" applyFill="1" applyBorder="1" applyAlignment="1">
      <alignment horizontal="center" vertical="center" wrapText="1"/>
    </xf>
    <xf numFmtId="173" fontId="31" fillId="11" borderId="21" xfId="0" applyNumberFormat="1" applyFont="1" applyFill="1" applyBorder="1" applyAlignment="1">
      <alignment horizontal="center" vertical="center" wrapText="1"/>
    </xf>
    <xf numFmtId="173" fontId="31" fillId="11" borderId="16" xfId="0" applyNumberFormat="1" applyFont="1" applyFill="1" applyBorder="1" applyAlignment="1">
      <alignment horizontal="center" vertical="center" wrapText="1"/>
    </xf>
    <xf numFmtId="173" fontId="31" fillId="11" borderId="17" xfId="0" applyNumberFormat="1" applyFont="1" applyFill="1" applyBorder="1" applyAlignment="1">
      <alignment horizontal="center" vertical="center" wrapText="1"/>
    </xf>
    <xf numFmtId="173" fontId="31" fillId="11" borderId="10" xfId="0" applyNumberFormat="1" applyFont="1" applyFill="1" applyBorder="1" applyAlignment="1">
      <alignment horizontal="center" vertical="center"/>
    </xf>
    <xf numFmtId="173" fontId="31" fillId="11" borderId="12" xfId="0" applyNumberFormat="1" applyFont="1" applyFill="1" applyBorder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30" fillId="12" borderId="1" xfId="0" applyFont="1" applyFill="1" applyBorder="1" applyAlignment="1">
      <alignment horizontal="center" vertical="center"/>
    </xf>
    <xf numFmtId="168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2" fillId="1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7" fillId="2" borderId="6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/>
    </xf>
    <xf numFmtId="0" fontId="28" fillId="2" borderId="10" xfId="0" applyFont="1" applyFill="1" applyBorder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0" fillId="7" borderId="0" xfId="0" applyFont="1" applyFill="1" applyAlignment="1">
      <alignment horizontal="left"/>
    </xf>
    <xf numFmtId="0" fontId="19" fillId="5" borderId="0" xfId="0" applyFont="1" applyFill="1" applyAlignment="1">
      <alignment horizontal="left"/>
    </xf>
    <xf numFmtId="0" fontId="8" fillId="8" borderId="0" xfId="0" applyFont="1" applyFill="1" applyAlignment="1">
      <alignment horizontal="center"/>
    </xf>
    <xf numFmtId="172" fontId="8" fillId="8" borderId="0" xfId="0" applyNumberFormat="1" applyFont="1" applyFill="1" applyAlignment="1">
      <alignment horizontal="center"/>
    </xf>
    <xf numFmtId="173" fontId="7" fillId="5" borderId="1" xfId="0" applyNumberFormat="1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220980</xdr:colOff>
          <xdr:row>2</xdr:row>
          <xdr:rowOff>220980</xdr:rowOff>
        </xdr:from>
        <xdr:to>
          <xdr:col>18</xdr:col>
          <xdr:colOff>464820</xdr:colOff>
          <xdr:row>5</xdr:row>
          <xdr:rowOff>68580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464757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1</xdr:col>
      <xdr:colOff>1939636</xdr:colOff>
      <xdr:row>1</xdr:row>
      <xdr:rowOff>124689</xdr:rowOff>
    </xdr:from>
    <xdr:to>
      <xdr:col>7</xdr:col>
      <xdr:colOff>299035</xdr:colOff>
      <xdr:row>7</xdr:row>
      <xdr:rowOff>27845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895600" y="353289"/>
          <a:ext cx="3132290" cy="10323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401739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09"/>
  <sheetViews>
    <sheetView showGridLines="0" tabSelected="1" zoomScale="110" zoomScaleNormal="85" zoomScaleSheetLayoutView="80" workbookViewId="0">
      <selection activeCell="K4" sqref="K4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2.441406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2.44140625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25" ht="18">
      <c r="H1" s="32"/>
      <c r="I1" s="32"/>
      <c r="J1" s="32"/>
      <c r="K1" s="31"/>
    </row>
    <row r="2" spans="1:25" ht="18">
      <c r="H2" s="32"/>
      <c r="I2" s="32"/>
      <c r="J2" s="32"/>
      <c r="K2" s="31"/>
    </row>
    <row r="3" spans="1:25">
      <c r="F3" s="163"/>
      <c r="G3" s="163"/>
      <c r="H3" s="163"/>
      <c r="I3" s="163"/>
      <c r="W3" s="5" t="s">
        <v>80</v>
      </c>
    </row>
    <row r="4" spans="1:25">
      <c r="F4" s="170"/>
      <c r="G4" s="170"/>
      <c r="H4" s="170"/>
      <c r="I4" s="170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2" t="s">
        <v>86</v>
      </c>
    </row>
    <row r="7" spans="1:25">
      <c r="D7" s="171" t="s">
        <v>116</v>
      </c>
      <c r="E7" s="171"/>
      <c r="F7" s="171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76">
        <f>+'2'!D5</f>
        <v>1</v>
      </c>
      <c r="J8" s="176"/>
      <c r="K8" s="176"/>
      <c r="T8" s="88"/>
      <c r="W8" s="5" t="s">
        <v>89</v>
      </c>
    </row>
    <row r="9" spans="1:25">
      <c r="A9" s="33" t="s">
        <v>115</v>
      </c>
      <c r="B9" s="47"/>
      <c r="D9" s="70" t="s">
        <v>102</v>
      </c>
      <c r="E9" s="135">
        <f ca="1">+TODAY()</f>
        <v>46053</v>
      </c>
      <c r="F9" s="136"/>
      <c r="G9" s="31"/>
      <c r="H9" s="1" t="s">
        <v>29</v>
      </c>
      <c r="I9" s="177">
        <f>+'2'!D6</f>
        <v>23.2</v>
      </c>
      <c r="J9" s="177"/>
      <c r="K9" s="177"/>
      <c r="R9" s="3"/>
      <c r="S9" s="113" t="s">
        <v>88</v>
      </c>
      <c r="T9" s="6" t="s">
        <v>54</v>
      </c>
    </row>
    <row r="10" spans="1:25">
      <c r="A10" s="33" t="s">
        <v>114</v>
      </c>
      <c r="B10" s="47"/>
      <c r="D10" s="78" t="s">
        <v>26</v>
      </c>
      <c r="E10" s="1" t="s">
        <v>27</v>
      </c>
      <c r="F10" s="77"/>
      <c r="G10" s="31"/>
      <c r="H10" s="1" t="s">
        <v>73</v>
      </c>
      <c r="I10" s="91">
        <v>0</v>
      </c>
      <c r="J10" s="91">
        <v>0</v>
      </c>
      <c r="K10" s="91">
        <v>0</v>
      </c>
      <c r="R10" s="81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5">
        <f>IF($I$11&lt;1,S10,S10/$I$11)</f>
        <v>280</v>
      </c>
      <c r="U10" s="49"/>
      <c r="V10" s="81"/>
      <c r="W10" s="81" t="s">
        <v>82</v>
      </c>
      <c r="X10" s="81" t="s">
        <v>81</v>
      </c>
      <c r="Y10" s="81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73">
        <f>+'2'!D8</f>
        <v>8.4000000000000005E-2</v>
      </c>
      <c r="J11" s="173"/>
      <c r="K11" s="173"/>
      <c r="L11" s="62"/>
      <c r="R11" s="81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5">
        <f>IF($I$11&lt;1,S11,S11/$I$11)</f>
        <v>260</v>
      </c>
      <c r="U11" s="3"/>
      <c r="V11" s="81" t="s">
        <v>103</v>
      </c>
      <c r="W11" s="81">
        <v>280</v>
      </c>
      <c r="X11" s="81">
        <v>260</v>
      </c>
      <c r="Y11" s="134">
        <v>250</v>
      </c>
    </row>
    <row r="12" spans="1:25">
      <c r="R12" s="81" t="s">
        <v>89</v>
      </c>
      <c r="S12" s="112">
        <f>+P22</f>
        <v>685</v>
      </c>
      <c r="T12" s="85">
        <f>IF($I$11&lt;1,S12,S12/$I$11)</f>
        <v>685</v>
      </c>
      <c r="U12" s="3"/>
      <c r="V12" s="81" t="s">
        <v>104</v>
      </c>
      <c r="W12" s="81">
        <v>375</v>
      </c>
      <c r="X12" s="81">
        <v>350</v>
      </c>
      <c r="Y12" s="134"/>
    </row>
    <row r="13" spans="1:25">
      <c r="A13" s="175" t="s">
        <v>31</v>
      </c>
      <c r="B13" s="175"/>
      <c r="C13" s="175"/>
      <c r="D13" s="175"/>
      <c r="E13" s="175"/>
      <c r="F13" s="60"/>
      <c r="G13" s="60"/>
      <c r="H13" s="63"/>
      <c r="I13" s="63"/>
      <c r="J13" s="36" t="s">
        <v>34</v>
      </c>
      <c r="K13" s="36" t="s">
        <v>33</v>
      </c>
      <c r="R13" s="81" t="s">
        <v>86</v>
      </c>
      <c r="S13" s="50">
        <f>IF('1'!$I$11&lt;1,250,IF('1'!$I$11&lt;4,250*'1'!$I$11,IF('1'!$I$11&lt;=10,250*'1'!$I$11,IF('1'!$I$11&gt;10,250*'1'!$I$11,"VERIFICA EL CBM"))))</f>
        <v>250</v>
      </c>
      <c r="T13" s="85">
        <f>IF($I$11&lt;1,S13,S13/$I$11)</f>
        <v>250</v>
      </c>
      <c r="U13" s="87"/>
      <c r="V13" s="100" t="s">
        <v>105</v>
      </c>
      <c r="W13" s="100">
        <v>375</v>
      </c>
      <c r="X13" s="81">
        <v>350</v>
      </c>
      <c r="Y13" s="134"/>
    </row>
    <row r="14" spans="1:25">
      <c r="A14" s="151" t="s">
        <v>36</v>
      </c>
      <c r="B14" s="151"/>
      <c r="C14" s="151"/>
      <c r="D14" s="31"/>
      <c r="E14" s="31"/>
      <c r="F14" s="31"/>
      <c r="G14" s="31"/>
      <c r="J14" s="45">
        <f>'2'!D18</f>
        <v>1220</v>
      </c>
      <c r="K14" s="34" t="s">
        <v>35</v>
      </c>
      <c r="R14" s="81" t="s">
        <v>85</v>
      </c>
      <c r="S14" s="50">
        <f>IF('1'!$I$11&lt;1,250,250*'1'!$I$11)</f>
        <v>250</v>
      </c>
      <c r="T14" s="85">
        <f>IF($I$11&lt;1,S14,S14/$I$11)</f>
        <v>250</v>
      </c>
      <c r="V14" s="100" t="s">
        <v>106</v>
      </c>
      <c r="W14" s="100">
        <v>350</v>
      </c>
      <c r="X14" s="81">
        <v>325</v>
      </c>
      <c r="Y14" s="134"/>
    </row>
    <row r="15" spans="1:25">
      <c r="A15" s="150" t="s">
        <v>32</v>
      </c>
      <c r="B15" s="150"/>
      <c r="C15" s="150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1" t="s">
        <v>107</v>
      </c>
      <c r="W15" s="81">
        <v>325</v>
      </c>
      <c r="X15" s="81">
        <v>300</v>
      </c>
      <c r="Y15" s="134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1" t="s">
        <v>91</v>
      </c>
      <c r="S16" s="81" t="str">
        <f>E11</f>
        <v>NUEVO</v>
      </c>
      <c r="T16" s="81">
        <f>VLOOKUP(S16,R10:T14,3,0)</f>
        <v>280</v>
      </c>
      <c r="V16" s="81" t="s">
        <v>108</v>
      </c>
      <c r="W16" s="81">
        <v>300</v>
      </c>
      <c r="X16" s="81">
        <v>280</v>
      </c>
      <c r="Y16" s="134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75" t="s">
        <v>100</v>
      </c>
      <c r="B19" s="175"/>
      <c r="C19" s="175"/>
      <c r="D19" s="175"/>
      <c r="E19" s="175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06" t="s">
        <v>54</v>
      </c>
      <c r="O20" s="124" t="s">
        <v>143</v>
      </c>
      <c r="P20" s="124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07">
        <f>J31/I11</f>
        <v>595.23809523809518</v>
      </c>
      <c r="O21" s="125" t="s">
        <v>144</v>
      </c>
      <c r="P21" s="125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0" t="s">
        <v>139</v>
      </c>
      <c r="P22" s="120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0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79"/>
      <c r="N24" s="126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6">
      <c r="A29" s="174" t="s">
        <v>97</v>
      </c>
      <c r="B29" s="174"/>
      <c r="C29" s="174"/>
      <c r="D29" s="174"/>
      <c r="E29" s="174"/>
      <c r="F29" s="89"/>
      <c r="G29" s="89"/>
      <c r="H29" s="90"/>
      <c r="I29" s="90"/>
      <c r="J29" s="90" t="s">
        <v>34</v>
      </c>
      <c r="K29" s="90" t="s">
        <v>33</v>
      </c>
      <c r="M29" s="79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06" t="s">
        <v>34</v>
      </c>
    </row>
    <row r="32" spans="1:16">
      <c r="A32" s="122" t="s">
        <v>146</v>
      </c>
      <c r="B32" s="31"/>
      <c r="C32" s="31"/>
      <c r="D32" s="31"/>
      <c r="E32" s="31"/>
      <c r="F32" s="31"/>
      <c r="G32" s="31"/>
      <c r="H32" s="45"/>
      <c r="I32" s="45"/>
      <c r="J32" s="123">
        <v>100</v>
      </c>
      <c r="K32" s="34" t="s">
        <v>35</v>
      </c>
      <c r="L32" s="106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39" t="s">
        <v>121</v>
      </c>
      <c r="N34" s="139"/>
      <c r="O34" s="139"/>
      <c r="P34" s="139"/>
      <c r="Q34" s="139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40"/>
      <c r="N35" s="140"/>
      <c r="O35" s="140"/>
      <c r="P35" s="140"/>
      <c r="Q35" s="140"/>
    </row>
    <row r="36" spans="1:19" ht="15" customHeight="1">
      <c r="A36" s="154" t="s">
        <v>101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6"/>
      <c r="M36" s="147" t="s">
        <v>46</v>
      </c>
      <c r="N36" s="145" t="s">
        <v>77</v>
      </c>
      <c r="O36" s="141" t="s">
        <v>117</v>
      </c>
      <c r="P36" s="143" t="s">
        <v>118</v>
      </c>
      <c r="Q36" s="137" t="s">
        <v>119</v>
      </c>
    </row>
    <row r="37" spans="1:19" ht="17.25" customHeight="1">
      <c r="A37" s="61" t="s">
        <v>46</v>
      </c>
      <c r="B37" s="152" t="s">
        <v>77</v>
      </c>
      <c r="C37" s="172"/>
      <c r="D37" s="153"/>
      <c r="E37" s="7" t="s">
        <v>1</v>
      </c>
      <c r="F37" s="152" t="s">
        <v>78</v>
      </c>
      <c r="G37" s="153"/>
      <c r="H37" s="5" t="s">
        <v>75</v>
      </c>
      <c r="I37" s="74" t="s">
        <v>8</v>
      </c>
      <c r="J37" s="178" t="s">
        <v>76</v>
      </c>
      <c r="K37" s="178"/>
      <c r="M37" s="148"/>
      <c r="N37" s="146"/>
      <c r="O37" s="142"/>
      <c r="P37" s="144"/>
      <c r="Q37" s="138"/>
    </row>
    <row r="38" spans="1:19" s="130" customFormat="1" ht="15.6">
      <c r="A38" s="127" t="s">
        <v>8</v>
      </c>
      <c r="B38" s="128"/>
      <c r="C38" s="128"/>
      <c r="D38" s="128"/>
      <c r="E38" s="129" t="e">
        <f>+SUM(#REF!)</f>
        <v>#REF!</v>
      </c>
      <c r="F38" s="128"/>
      <c r="G38" s="128"/>
      <c r="I38" s="131" t="e">
        <f>+SUM(#REF!)</f>
        <v>#REF!</v>
      </c>
      <c r="J38" s="132"/>
      <c r="K38" s="133"/>
      <c r="L38" s="128"/>
    </row>
    <row r="39" spans="1:19" ht="15.75" customHeight="1">
      <c r="A39" s="66"/>
      <c r="B39" s="2"/>
      <c r="C39" s="2"/>
      <c r="D39" s="2"/>
      <c r="E39" s="43"/>
      <c r="F39" s="2"/>
      <c r="G39" s="2"/>
      <c r="I39" s="94"/>
      <c r="J39" s="75"/>
      <c r="K39" s="76"/>
      <c r="M39" s="162" t="s">
        <v>120</v>
      </c>
      <c r="N39" s="162"/>
      <c r="O39" s="162"/>
      <c r="P39" s="166" t="s">
        <v>126</v>
      </c>
      <c r="Q39" s="167"/>
    </row>
    <row r="40" spans="1:19" ht="18.75" customHeight="1">
      <c r="A40" s="92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62"/>
      <c r="N40" s="162"/>
      <c r="O40" s="162"/>
      <c r="P40" s="168"/>
      <c r="Q40" s="169"/>
    </row>
    <row r="41" spans="1:19" ht="21">
      <c r="A41" s="93" t="s">
        <v>92</v>
      </c>
      <c r="B41" s="31"/>
      <c r="C41" s="31"/>
      <c r="D41" s="31"/>
      <c r="E41" s="31"/>
      <c r="F41" s="31"/>
      <c r="G41" s="31"/>
      <c r="H41" s="31"/>
      <c r="I41" s="31"/>
      <c r="J41" s="31"/>
      <c r="M41" s="164" t="s">
        <v>122</v>
      </c>
      <c r="N41" s="165"/>
      <c r="O41" s="102">
        <f>+J31+J30-J32</f>
        <v>635</v>
      </c>
      <c r="P41" s="101" t="s">
        <v>140</v>
      </c>
    </row>
    <row r="42" spans="1:19" ht="21">
      <c r="A42" s="93" t="s">
        <v>93</v>
      </c>
      <c r="B42" s="31"/>
      <c r="C42" s="31"/>
      <c r="D42" s="31"/>
      <c r="E42" s="31"/>
      <c r="F42" s="31"/>
      <c r="G42" s="31"/>
      <c r="H42" s="31"/>
      <c r="I42" s="31"/>
      <c r="J42" s="31"/>
      <c r="M42" s="164" t="s">
        <v>123</v>
      </c>
      <c r="N42" s="165"/>
      <c r="O42" s="102">
        <f>+J33</f>
        <v>372.00529999999998</v>
      </c>
      <c r="P42" s="101" t="s">
        <v>141</v>
      </c>
    </row>
    <row r="43" spans="1:19" ht="18">
      <c r="A43" s="93" t="s">
        <v>110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">
      <c r="A44" s="93" t="s">
        <v>94</v>
      </c>
      <c r="B44" s="31"/>
      <c r="C44" s="31"/>
      <c r="D44" s="31"/>
      <c r="E44" s="31"/>
      <c r="F44" s="31"/>
      <c r="G44" s="31"/>
      <c r="H44" s="31"/>
      <c r="I44" s="31"/>
      <c r="J44" s="31"/>
      <c r="M44" s="157" t="s">
        <v>125</v>
      </c>
      <c r="N44" s="157"/>
      <c r="O44" s="158">
        <f>+O41+O42+J14</f>
        <v>2227.0052999999998</v>
      </c>
      <c r="P44" s="160" t="s">
        <v>124</v>
      </c>
      <c r="Q44" s="161"/>
      <c r="S44" s="163"/>
    </row>
    <row r="45" spans="1:19" ht="18.75" customHeight="1">
      <c r="A45" s="93" t="s">
        <v>111</v>
      </c>
      <c r="B45" s="31"/>
      <c r="C45" s="31"/>
      <c r="D45" s="31"/>
      <c r="E45" s="31"/>
      <c r="F45" s="31"/>
      <c r="G45" s="31"/>
      <c r="H45" s="31"/>
      <c r="I45" s="31"/>
      <c r="J45" s="31"/>
      <c r="M45" s="157"/>
      <c r="N45" s="157"/>
      <c r="O45" s="159"/>
      <c r="P45" s="160"/>
      <c r="Q45" s="161"/>
      <c r="S45" s="163"/>
    </row>
    <row r="46" spans="1:19" ht="18.75" customHeight="1">
      <c r="A46" s="93" t="s">
        <v>112</v>
      </c>
      <c r="B46" s="31"/>
      <c r="C46" s="31"/>
      <c r="D46" s="31"/>
      <c r="E46" s="31"/>
      <c r="F46" s="31"/>
      <c r="G46" s="31"/>
      <c r="H46" s="31"/>
      <c r="I46" s="31"/>
      <c r="J46" s="31"/>
      <c r="S46" s="163"/>
    </row>
    <row r="47" spans="1:19" ht="18">
      <c r="A47" s="93" t="s">
        <v>113</v>
      </c>
      <c r="B47" s="31"/>
      <c r="C47" s="31"/>
      <c r="D47" s="31"/>
      <c r="E47" s="31"/>
      <c r="F47" s="31"/>
      <c r="G47" s="31"/>
      <c r="H47" s="31"/>
      <c r="I47" s="31"/>
      <c r="J47" s="31"/>
      <c r="S47" s="163"/>
    </row>
    <row r="48" spans="1:19" ht="18">
      <c r="A48" s="93" t="s">
        <v>109</v>
      </c>
      <c r="B48" s="31"/>
      <c r="C48" s="31"/>
      <c r="D48" s="31"/>
      <c r="E48" s="31"/>
      <c r="F48" s="31"/>
      <c r="G48" s="31"/>
      <c r="H48" s="31"/>
      <c r="I48" s="31"/>
      <c r="J48" s="31"/>
      <c r="S48" s="163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63"/>
    </row>
    <row r="51" spans="1:19" ht="18">
      <c r="H51" s="32"/>
      <c r="I51" s="32"/>
      <c r="J51" s="32"/>
      <c r="K51" s="31"/>
    </row>
    <row r="52" spans="1:19" ht="18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49" t="s">
        <v>45</v>
      </c>
      <c r="B56" s="149"/>
      <c r="C56" s="149"/>
      <c r="D56" s="149"/>
      <c r="E56" s="149"/>
      <c r="F56" s="149"/>
      <c r="G56" s="149"/>
      <c r="H56" s="149"/>
      <c r="I56" s="149"/>
      <c r="J56" s="149"/>
      <c r="K56" s="149"/>
    </row>
    <row r="60" spans="1:19">
      <c r="A60" s="51" t="s">
        <v>47</v>
      </c>
      <c r="B60" s="31"/>
      <c r="C60" s="31"/>
      <c r="D60" s="31"/>
    </row>
    <row r="61" spans="1:19">
      <c r="A61" s="51" t="s">
        <v>56</v>
      </c>
      <c r="B61" s="31"/>
      <c r="C61" s="31"/>
      <c r="D61" s="31"/>
    </row>
    <row r="62" spans="1:19">
      <c r="A62" s="31" t="s">
        <v>55</v>
      </c>
      <c r="C62" s="31"/>
      <c r="D62" s="31"/>
    </row>
    <row r="63" spans="1:19">
      <c r="A63" s="51" t="s">
        <v>48</v>
      </c>
      <c r="B63" s="31"/>
      <c r="C63" s="31"/>
      <c r="D63" s="31"/>
    </row>
    <row r="64" spans="1:19">
      <c r="A64" s="51" t="s">
        <v>58</v>
      </c>
      <c r="B64" s="31"/>
      <c r="C64" s="31"/>
      <c r="D64" s="31"/>
    </row>
    <row r="65" spans="1:10">
      <c r="A65" s="31" t="s">
        <v>57</v>
      </c>
      <c r="C65" s="31"/>
      <c r="D65" s="31"/>
    </row>
    <row r="66" spans="1:10">
      <c r="A66" s="51" t="s">
        <v>49</v>
      </c>
      <c r="B66" s="31"/>
      <c r="C66" s="31"/>
      <c r="D66" s="31"/>
    </row>
    <row r="67" spans="1:10">
      <c r="A67" s="51" t="s">
        <v>51</v>
      </c>
      <c r="B67" s="31"/>
      <c r="C67" s="31"/>
      <c r="D67" s="31"/>
    </row>
    <row r="68" spans="1:10">
      <c r="A68" s="51" t="s">
        <v>59</v>
      </c>
      <c r="B68" s="31"/>
      <c r="C68" s="31"/>
      <c r="D68" s="31"/>
    </row>
    <row r="69" spans="1:10">
      <c r="A69" s="51" t="s">
        <v>60</v>
      </c>
      <c r="B69" s="31"/>
      <c r="C69" s="31"/>
      <c r="D69" s="31"/>
    </row>
    <row r="70" spans="1:10">
      <c r="A70" s="51" t="s">
        <v>62</v>
      </c>
      <c r="B70" s="31"/>
      <c r="C70" s="31"/>
      <c r="D70" s="31"/>
    </row>
    <row r="71" spans="1:10">
      <c r="A71" s="51" t="s">
        <v>61</v>
      </c>
      <c r="B71" s="31"/>
      <c r="C71" s="31"/>
      <c r="D71" s="31"/>
    </row>
    <row r="72" spans="1:10">
      <c r="A72" s="51" t="s">
        <v>50</v>
      </c>
      <c r="B72" s="31"/>
      <c r="C72" s="31"/>
      <c r="D72" s="31"/>
    </row>
    <row r="73" spans="1:10">
      <c r="A73" s="51" t="s">
        <v>130</v>
      </c>
      <c r="B73" s="31"/>
      <c r="C73" s="31"/>
      <c r="D73" s="31"/>
    </row>
    <row r="77" spans="1:10">
      <c r="A77" s="51" t="s">
        <v>63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104" t="s">
        <v>127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51" t="s">
        <v>64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103" t="s">
        <v>128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51" t="s">
        <v>65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51" t="s">
        <v>66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67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68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69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129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51" t="s">
        <v>83</v>
      </c>
      <c r="B91" s="31"/>
      <c r="C91" s="31"/>
      <c r="D91" s="31"/>
    </row>
    <row r="92" spans="1:10">
      <c r="A92" s="51" t="s">
        <v>84</v>
      </c>
      <c r="B92" s="31"/>
      <c r="C92" s="31"/>
      <c r="D92" s="31"/>
    </row>
    <row r="93" spans="1:10">
      <c r="A93" s="41" t="s">
        <v>131</v>
      </c>
      <c r="B93" s="31"/>
      <c r="C93" s="31"/>
      <c r="D93" s="31"/>
    </row>
    <row r="94" spans="1:10">
      <c r="A94" s="41" t="s">
        <v>132</v>
      </c>
    </row>
    <row r="95" spans="1:10">
      <c r="A95" s="41" t="s">
        <v>133</v>
      </c>
    </row>
    <row r="100" spans="2:10">
      <c r="B100" s="41"/>
    </row>
    <row r="101" spans="2:10" ht="15.6">
      <c r="B101" s="42"/>
    </row>
    <row r="102" spans="2:10" ht="15.6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6">
      <c r="B109" s="44"/>
    </row>
  </sheetData>
  <sheetProtection selectLockedCells="1"/>
  <mergeCells count="32"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  <mergeCell ref="M44:N45"/>
    <mergeCell ref="O44:O45"/>
    <mergeCell ref="P44:Q45"/>
    <mergeCell ref="M39:O40"/>
    <mergeCell ref="S44:S49"/>
    <mergeCell ref="M41:N41"/>
    <mergeCell ref="M42:N42"/>
    <mergeCell ref="P39:Q40"/>
    <mergeCell ref="A56:K56"/>
    <mergeCell ref="A15:C15"/>
    <mergeCell ref="A14:C14"/>
    <mergeCell ref="F37:G37"/>
    <mergeCell ref="A36:K36"/>
    <mergeCell ref="Y11:Y16"/>
    <mergeCell ref="E9:F9"/>
    <mergeCell ref="Q36:Q37"/>
    <mergeCell ref="M34:Q35"/>
    <mergeCell ref="O36:O37"/>
    <mergeCell ref="P36:P37"/>
    <mergeCell ref="N36:N37"/>
    <mergeCell ref="M36:M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220980</xdr:colOff>
                    <xdr:row>2</xdr:row>
                    <xdr:rowOff>220980</xdr:rowOff>
                  </from>
                  <to>
                    <xdr:col>18</xdr:col>
                    <xdr:colOff>464820</xdr:colOff>
                    <xdr:row>5</xdr:row>
                    <xdr:rowOff>68580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zoomScaleNormal="100" workbookViewId="0">
      <selection activeCell="B24" sqref="B24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1.3320312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179" t="s">
        <v>12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08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5" t="s">
        <v>134</v>
      </c>
      <c r="C4" s="121">
        <v>1</v>
      </c>
      <c r="D4" s="108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5" t="s">
        <v>30</v>
      </c>
      <c r="C5" s="121">
        <v>1</v>
      </c>
      <c r="D5" s="108">
        <f>SUM(C5:C5)</f>
        <v>1</v>
      </c>
    </row>
    <row r="6" spans="2:47">
      <c r="B6" s="105" t="s">
        <v>95</v>
      </c>
      <c r="C6" s="121">
        <v>23.2</v>
      </c>
      <c r="D6" s="108">
        <f>SUM(C6:C6)</f>
        <v>23.2</v>
      </c>
    </row>
    <row r="7" spans="2:47">
      <c r="B7" s="105" t="s">
        <v>73</v>
      </c>
      <c r="C7" s="121"/>
    </row>
    <row r="8" spans="2:47">
      <c r="B8" s="105" t="s">
        <v>135</v>
      </c>
      <c r="C8" s="121">
        <v>8.4000000000000005E-2</v>
      </c>
      <c r="D8" s="108">
        <f>SUM(C8:C8)</f>
        <v>8.4000000000000005E-2</v>
      </c>
    </row>
    <row r="9" spans="2:47" s="1" customFormat="1">
      <c r="B9" s="110"/>
      <c r="C9" s="2"/>
      <c r="D9" s="111"/>
      <c r="E9" s="2"/>
      <c r="F9" s="2"/>
      <c r="G9" s="2"/>
      <c r="H9" s="2"/>
      <c r="I9" s="2"/>
      <c r="J9" s="2"/>
      <c r="K9" s="2"/>
      <c r="L9" s="2"/>
    </row>
    <row r="10" spans="2:47">
      <c r="C10" s="109">
        <v>1</v>
      </c>
    </row>
    <row r="11" spans="2:47" ht="15" customHeight="1">
      <c r="B11" s="98" t="s">
        <v>90</v>
      </c>
      <c r="C11" s="98" t="s">
        <v>142</v>
      </c>
      <c r="D11" s="116" t="s">
        <v>8</v>
      </c>
    </row>
    <row r="12" spans="2:47" ht="15" hidden="1" customHeight="1">
      <c r="B12" s="5" t="s">
        <v>96</v>
      </c>
      <c r="C12" s="7"/>
      <c r="D12" s="117">
        <f>SUM(C12:C12)</f>
        <v>0</v>
      </c>
    </row>
    <row r="13" spans="2:47" ht="15" hidden="1" customHeight="1">
      <c r="B13" s="5" t="s">
        <v>95</v>
      </c>
      <c r="C13" s="97"/>
      <c r="D13" s="118">
        <f>SUM(C13:C13)</f>
        <v>0</v>
      </c>
    </row>
    <row r="14" spans="2:47" ht="15" hidden="1" customHeight="1">
      <c r="B14" s="5" t="s">
        <v>88</v>
      </c>
      <c r="C14" s="96"/>
      <c r="D14" s="119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5" t="s">
        <v>0</v>
      </c>
      <c r="C15" s="115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6">
        <v>0.6</v>
      </c>
      <c r="O16" s="86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4">
        <v>100</v>
      </c>
      <c r="D17" s="117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4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4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4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4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6"/>
      <c r="F21" s="183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4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83"/>
      <c r="G22" s="49"/>
      <c r="H22" s="1"/>
      <c r="I22" s="83" t="s">
        <v>87</v>
      </c>
      <c r="J22" s="83"/>
      <c r="K22" s="50">
        <f>250*60%</f>
        <v>150</v>
      </c>
      <c r="L22" s="50">
        <f>250*40%</f>
        <v>100</v>
      </c>
      <c r="M22" s="84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85" t="s">
        <v>11</v>
      </c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84"/>
      <c r="I33" s="184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84"/>
      <c r="I34" s="184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82" t="s">
        <v>16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6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99" t="s">
        <v>17</v>
      </c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7" type="noConversion"/>
  <pageMargins left="0.7" right="0.7" top="0.75" bottom="0.75" header="0.3" footer="0.3"/>
  <pageSetup orientation="portrait" r:id="rId1"/>
  <cellWatches>
    <cellWatch r="D38"/>
  </cellWatche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2026-01-31T18:45:37Z</dcterms:modified>
</cp:coreProperties>
</file>