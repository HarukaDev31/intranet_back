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Proyectos\Probusiness\probusiness_intranetv2_back\public\assets\templates\"/>
    </mc:Choice>
  </mc:AlternateContent>
  <xr:revisionPtr revIDLastSave="0" documentId="13_ncr:1_{A6A2571F-A121-4985-8A03-3E0F0E380D67}" xr6:coauthVersionLast="47" xr6:coauthVersionMax="47" xr10:uidLastSave="{00000000-0000-0000-0000-000000000000}"/>
  <bookViews>
    <workbookView xWindow="28680" yWindow="735" windowWidth="20730" windowHeight="11040" activeTab="1" xr2:uid="{00000000-000D-0000-FFFF-FFFF00000000}"/>
  </bookViews>
  <sheets>
    <sheet name="1" sheetId="2" r:id="rId1"/>
    <sheet name="2" sheetId="1" r:id="rId2"/>
  </sheets>
  <definedNames>
    <definedName name="_xlnm.Print_Area" localSheetId="0">'1'!$A$1:$K$109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8" i="1"/>
  <c r="I11" i="2" s="1"/>
  <c r="D5" i="1"/>
  <c r="I8" i="2" s="1"/>
  <c r="D6" i="1"/>
  <c r="I9" i="2" s="1"/>
  <c r="D14" i="1" l="1"/>
  <c r="C19" i="1"/>
  <c r="C18" i="1"/>
  <c r="D18" i="1" s="1"/>
  <c r="C31" i="1"/>
  <c r="E9" i="2"/>
  <c r="D17" i="1"/>
  <c r="D13" i="1"/>
  <c r="D12" i="1"/>
  <c r="D31" i="1" l="1"/>
  <c r="D24" i="1" l="1"/>
  <c r="G16" i="1" l="1"/>
  <c r="I23" i="2" l="1"/>
  <c r="I20" i="2"/>
  <c r="C52" i="1"/>
  <c r="E38" i="2" s="1"/>
  <c r="C50" i="1"/>
  <c r="J23" i="2" l="1"/>
  <c r="D19" i="1"/>
  <c r="C20" i="1" l="1"/>
  <c r="C44" i="1" l="1"/>
  <c r="C24" i="1"/>
  <c r="J14" i="2" l="1"/>
  <c r="D21" i="1" l="1"/>
  <c r="J15" i="2" s="1"/>
  <c r="J16" i="2" s="1"/>
  <c r="D45" i="1"/>
  <c r="J30" i="2" s="1"/>
  <c r="O41" i="2" l="1"/>
  <c r="C21" i="1"/>
  <c r="C45" i="1"/>
  <c r="C22" i="1"/>
  <c r="C23" i="1"/>
  <c r="C25" i="1" l="1"/>
  <c r="D22" i="1"/>
  <c r="C26" i="1"/>
  <c r="D26" i="1" s="1"/>
  <c r="D23" i="1"/>
  <c r="D25" i="1" l="1"/>
  <c r="C34" i="1"/>
  <c r="D34" i="1" l="1"/>
  <c r="J20" i="2" s="1"/>
  <c r="C36" i="1"/>
  <c r="D36" i="1" s="1"/>
  <c r="J22" i="2" s="1"/>
  <c r="C35" i="1"/>
  <c r="D35" i="1" s="1"/>
  <c r="J21" i="2" s="1"/>
  <c r="J24" i="2" l="1"/>
  <c r="C37" i="1"/>
  <c r="D37" i="1" s="1"/>
  <c r="J26" i="2" s="1"/>
  <c r="C38" i="1" l="1"/>
  <c r="D38" i="1"/>
  <c r="C51" i="1"/>
  <c r="J27" i="2"/>
  <c r="J33" i="2" s="1"/>
  <c r="O42" i="2" l="1"/>
  <c r="O44" i="2" s="1"/>
  <c r="J34" i="2"/>
  <c r="C53" i="1"/>
  <c r="D51" i="1"/>
  <c r="C54" i="1" l="1"/>
  <c r="I38" i="2" l="1"/>
</calcChain>
</file>

<file path=xl/sharedStrings.xml><?xml version="1.0" encoding="utf-8"?>
<sst xmlns="http://schemas.openxmlformats.org/spreadsheetml/2006/main" count="166" uniqueCount="130">
  <si>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</si>
  <si>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</si>
  <si>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</si>
  <si>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</si>
  <si>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</si>
  <si>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</si>
  <si>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</si>
  <si>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</si>
  <si>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</si>
  <si>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</si>
  <si>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</si>
  <si>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</si>
  <si>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</si>
  <si>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</si>
  <si>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</si>
  <si>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</si>
  <si>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</si>
  <si>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</si>
  <si>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</si>
  <si>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</si>
  <si>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</si>
  <si>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</si>
  <si>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</si>
  <si>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</si>
  <si>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</si>
  <si>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</si>
  <si>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</si>
  <si>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</si>
  <si>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</si>
  <si>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</si>
  <si>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</si>
  <si>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</si>
  <si>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</si>
  <si>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</si>
  <si>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</si>
  <si>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</si>
  <si>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</si>
  <si>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</si>
  <si>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</si>
  <si>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</si>
  <si>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</si>
  <si>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</si>
  <si>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</si>
  <si>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</si>
  <si>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</si>
  <si>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</si>
  <si>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</si>
  <si>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</si>
  <si>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</si>
  <si>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</si>
  <si>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</si>
  <si>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</si>
  <si>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</si>
  <si>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NOTAS: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</si>
  <si>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</si>
  <si>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</si>
  <si>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</si>
  <si>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</si>
  <si>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</si>
  <si>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</si>
  <si>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</si>
  <si>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</si>
  <si>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11. El costo por metro cubico incluye: Flete – Ag. Aduana – Costos en destino.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</si>
  <si>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</si>
  <si>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</si>
  <si>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</si>
  <si>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</si>
  <si>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</si>
  <si>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</si>
  <si>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</si>
  <si>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</si>
  <si>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</si>
  <si>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</si>
  <si>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</si>
  <si>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</si>
  <si>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</si>
  <si>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</si>
  <si>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</si>
  <si>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</si>
  <si>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</si>
  <si>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</si>
  <si>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</si>
  <si>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TOTAL CBM</t>
  </si>
  <si>
    <t>NOMBRE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</si>
  <si>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</si>
  <si>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</si>
  <si>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</si>
  <si>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</si>
  <si>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</si>
  <si>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</si>
  <si>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</si>
  <si>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SERVICIO DE IMPORTACIÓN  (ORIGEN -FLETE - DESTINO)</t>
  </si>
  <si>
    <t>CALCULO DE TRIBUTOS</t>
  </si>
  <si>
    <t>SIMULACIÓN DEL PRECIO PUESTO EN PERÚ POR PIEZA</t>
  </si>
  <si>
    <t>FECHA: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</si>
  <si>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</si>
  <si>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</si>
  <si>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</si>
  <si>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</si>
  <si>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</si>
  <si>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</si>
  <si>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</si>
  <si>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</si>
  <si>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</si>
  <si>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</si>
  <si>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</si>
  <si>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</si>
  <si>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</si>
  <si>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PRIMER PAGO</t>
  </si>
  <si>
    <t>SEGUNDO PAGO</t>
  </si>
  <si>
    <t>Incluye Valor de Carga + Servicio de Consolidado + Pago de Impuestos</t>
  </si>
  <si>
    <t>INVERSION TOTAL</t>
  </si>
  <si>
    <t>FECHAS:</t>
  </si>
  <si>
    <t>12.No se aceptan productos restringido que no cuenten con permiso.</t>
  </si>
  <si>
    <t>de acogerse a un beneficio arancelario (C.O) o pueda tener perdida en aduanas por informacion incompleta.</t>
  </si>
  <si>
    <t>19.La fecha de entrega es aproximada, está sujeto a variaciones de linea naviera o aduanas.</t>
  </si>
  <si>
    <t>10. Si el cliente quiere cambiar la salida de su carga debera informar 4 día antes de la fecha de cierre.</t>
  </si>
  <si>
    <t>22. El cliente tendra un plazo de 24 horas despues de la entrega para presentar algun tipo de reclamo.</t>
  </si>
  <si>
    <t>23. La factura o boleta se emitirá con base al valor CIF de la cotización final.</t>
  </si>
  <si>
    <t>24. Concepto no facturable: Advalorem, Percepción, Anti-Dumping o Gestión de Compra</t>
  </si>
  <si>
    <t>N PROVEEDOR</t>
  </si>
  <si>
    <t>VOL.  X PROVEEDOR</t>
  </si>
  <si>
    <t>TOTALES</t>
  </si>
  <si>
    <t>Servicio de Consolidado antes de la Fecha de Corte 23/01</t>
  </si>
  <si>
    <t>Pago de Impuestos antes del Arribo 10/03</t>
  </si>
  <si>
    <t>BASE DE LAMPARA LED</t>
  </si>
  <si>
    <t xml:space="preserve">CARGOS EXTRAS (QTY PROVEEDORES O QTY ITEMS) </t>
  </si>
  <si>
    <t>DESCUENTO APLICABLE</t>
  </si>
  <si>
    <t>PRO MUNDO COMEX S.A.C.</t>
  </si>
  <si>
    <t>RUC: 20612452432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</si>
</sst>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0" formatCode="0.0\ &quot;cm&quot;"/>
    <numFmt numFmtId="171" formatCode="0.0\ &quot;kg&quot;"/>
    <numFmt numFmtId="172" formatCode="_-[$S/-280A]\ * #,##0.00_-;\-[$S/-280A]\ * #,##0.00_-;_-[$S/-280A]\ * &quot;-&quot;??_-;_-@_-"/>
    <numFmt numFmtId="173" formatCode="_-[$$-409]* #,##0.0_ ;_-[$$-409]* \-#,##0.0\ ;_-[$$-409]* &quot;-&quot;??_ ;_-@_ "/>
    <numFmt numFmtId="174" formatCode="0.00\ &quot;x UC&quot;"/>
    <numFmt numFmtId="176" formatCode="\$#,##0.00;\-\$#,##0.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Calibri Light"/>
      <family val="2"/>
      <scheme val="major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2" fillId="0" borderId="0"/>
  </cellStyleXfs>
  <cellXfs count="16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9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/>
    <xf numFmtId="0" fontId="15" fillId="2" borderId="0" xfId="0" applyFont="1" applyFill="1"/>
    <xf numFmtId="0" fontId="3" fillId="2" borderId="0" xfId="0" applyFont="1" applyFill="1" applyAlignment="1">
      <alignment horizontal="center"/>
    </xf>
    <xf numFmtId="0" fontId="16" fillId="2" borderId="0" xfId="0" applyFont="1" applyFill="1" applyAlignment="1">
      <alignment vertic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0" fontId="12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8" fillId="2" borderId="0" xfId="0" applyFont="1" applyFill="1" applyAlignment="1">
      <alignment horizontal="center"/>
    </xf>
    <xf numFmtId="0" fontId="10" fillId="2" borderId="8" xfId="0" applyFont="1" applyFill="1" applyBorder="1"/>
    <xf numFmtId="0" fontId="8" fillId="2" borderId="7" xfId="0" applyFont="1" applyFill="1" applyBorder="1"/>
    <xf numFmtId="0" fontId="8" fillId="2" borderId="9" xfId="0" applyFont="1" applyFill="1" applyBorder="1"/>
    <xf numFmtId="0" fontId="10" fillId="2" borderId="10" xfId="0" applyFont="1" applyFill="1" applyBorder="1"/>
    <xf numFmtId="0" fontId="10" fillId="2" borderId="12" xfId="0" applyFont="1" applyFill="1" applyBorder="1"/>
    <xf numFmtId="0" fontId="8" fillId="2" borderId="13" xfId="0" applyFont="1" applyFill="1" applyBorder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18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4" fontId="0" fillId="2" borderId="2" xfId="0" applyNumberFormat="1" applyFill="1" applyBorder="1" applyAlignment="1">
      <alignment horizontal="center"/>
    </xf>
    <xf numFmtId="0" fontId="0" fillId="2" borderId="0" xfId="0" applyFill="1" applyAlignment="1">
      <alignment vertical="center"/>
    </xf>
    <xf numFmtId="9" fontId="0" fillId="2" borderId="0" xfId="2" applyFont="1" applyFill="1"/>
    <xf numFmtId="0" fontId="11" fillId="7" borderId="0" xfId="0" applyFont="1" applyFill="1" applyAlignment="1">
      <alignment horizontal="left"/>
    </xf>
    <xf numFmtId="0" fontId="7" fillId="7" borderId="0" xfId="0" applyFont="1" applyFill="1" applyAlignment="1">
      <alignment horizontal="center"/>
    </xf>
    <xf numFmtId="170" fontId="8" fillId="8" borderId="0" xfId="0" applyNumberFormat="1" applyFont="1" applyFill="1" applyAlignment="1">
      <alignment horizontal="center"/>
    </xf>
    <xf numFmtId="0" fontId="21" fillId="2" borderId="0" xfId="0" applyFont="1" applyFill="1"/>
    <xf numFmtId="0" fontId="22" fillId="2" borderId="0" xfId="0" applyFont="1" applyFill="1"/>
    <xf numFmtId="173" fontId="18" fillId="2" borderId="0" xfId="0" applyNumberFormat="1" applyFont="1" applyFill="1"/>
    <xf numFmtId="0" fontId="0" fillId="4" borderId="14" xfId="0" applyFill="1" applyBorder="1"/>
    <xf numFmtId="169" fontId="8" fillId="2" borderId="1" xfId="0" applyNumberFormat="1" applyFont="1" applyFill="1" applyBorder="1" applyAlignment="1">
      <alignment horizontal="center"/>
    </xf>
    <xf numFmtId="171" fontId="8" fillId="2" borderId="1" xfId="0" applyNumberFormat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3" fillId="3" borderId="0" xfId="0" applyFont="1" applyFill="1"/>
    <xf numFmtId="0" fontId="25" fillId="2" borderId="0" xfId="0" applyFont="1" applyFill="1" applyAlignment="1">
      <alignment vertical="center"/>
    </xf>
    <xf numFmtId="168" fontId="26" fillId="2" borderId="1" xfId="0" applyNumberFormat="1" applyFont="1" applyFill="1" applyBorder="1" applyAlignment="1">
      <alignment horizontal="center"/>
    </xf>
    <xf numFmtId="0" fontId="10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/>
    </xf>
    <xf numFmtId="0" fontId="24" fillId="10" borderId="6" xfId="0" applyFont="1" applyFill="1" applyBorder="1" applyAlignment="1">
      <alignment horizontal="center" vertical="center"/>
    </xf>
    <xf numFmtId="0" fontId="0" fillId="6" borderId="0" xfId="0" applyFill="1"/>
    <xf numFmtId="0" fontId="24" fillId="10" borderId="22" xfId="0" applyFont="1" applyFill="1" applyBorder="1" applyAlignment="1">
      <alignment horizontal="center"/>
    </xf>
    <xf numFmtId="0" fontId="24" fillId="10" borderId="14" xfId="0" applyFont="1" applyFill="1" applyBorder="1" applyAlignment="1">
      <alignment horizontal="center"/>
    </xf>
    <xf numFmtId="0" fontId="24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33" fillId="0" borderId="1" xfId="13" applyFont="1" applyBorder="1" applyAlignment="1">
      <alignment horizontal="center" vertical="center"/>
    </xf>
    <xf numFmtId="176" fontId="33" fillId="0" borderId="1" xfId="13" applyNumberFormat="1" applyFont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1" fontId="8" fillId="9" borderId="5" xfId="0" applyNumberFormat="1" applyFont="1" applyFill="1" applyBorder="1" applyAlignment="1">
      <alignment horizontal="center"/>
    </xf>
    <xf numFmtId="169" fontId="8" fillId="6" borderId="5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4" fillId="2" borderId="0" xfId="0" applyFont="1" applyFill="1"/>
    <xf numFmtId="168" fontId="34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center"/>
    </xf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0" fontId="36" fillId="2" borderId="0" xfId="0" applyFont="1" applyFill="1"/>
    <xf numFmtId="165" fontId="35" fillId="2" borderId="7" xfId="0" applyNumberFormat="1" applyFont="1" applyFill="1" applyBorder="1"/>
    <xf numFmtId="0" fontId="37" fillId="2" borderId="0" xfId="0" applyFont="1" applyFill="1" applyAlignment="1">
      <alignment horizontal="right"/>
    </xf>
    <xf numFmtId="2" fontId="35" fillId="2" borderId="0" xfId="0" applyNumberFormat="1" applyFont="1" applyFill="1" applyAlignment="1">
      <alignment horizontal="left"/>
    </xf>
    <xf numFmtId="0" fontId="39" fillId="2" borderId="0" xfId="0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1" xfId="0" applyNumberFormat="1" applyFont="1" applyFill="1" applyBorder="1" applyAlignment="1">
      <alignment horizontal="left"/>
    </xf>
    <xf numFmtId="172" fontId="30" fillId="11" borderId="18" xfId="0" applyNumberFormat="1" applyFont="1" applyFill="1" applyBorder="1" applyAlignment="1">
      <alignment horizontal="center" vertical="center" wrapText="1"/>
    </xf>
    <xf numFmtId="172" fontId="30" fillId="11" borderId="19" xfId="0" applyNumberFormat="1" applyFont="1" applyFill="1" applyBorder="1" applyAlignment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28" fillId="11" borderId="15" xfId="0" applyFont="1" applyFill="1" applyBorder="1" applyAlignment="1">
      <alignment horizontal="center" vertical="center"/>
    </xf>
    <xf numFmtId="172" fontId="30" fillId="11" borderId="0" xfId="0" applyNumberFormat="1" applyFont="1" applyFill="1" applyAlignment="1">
      <alignment horizontal="center" vertical="center" wrapText="1"/>
    </xf>
    <xf numFmtId="172" fontId="30" fillId="11" borderId="2" xfId="0" applyNumberFormat="1" applyFont="1" applyFill="1" applyBorder="1" applyAlignment="1">
      <alignment horizontal="center" vertical="center" wrapText="1"/>
    </xf>
    <xf numFmtId="172" fontId="30" fillId="11" borderId="20" xfId="0" applyNumberFormat="1" applyFont="1" applyFill="1" applyBorder="1" applyAlignment="1">
      <alignment horizontal="center" vertical="center" wrapText="1"/>
    </xf>
    <xf numFmtId="172" fontId="30" fillId="11" borderId="21" xfId="0" applyNumberFormat="1" applyFont="1" applyFill="1" applyBorder="1" applyAlignment="1">
      <alignment horizontal="center" vertical="center" wrapText="1"/>
    </xf>
    <xf numFmtId="172" fontId="30" fillId="11" borderId="16" xfId="0" applyNumberFormat="1" applyFont="1" applyFill="1" applyBorder="1" applyAlignment="1">
      <alignment horizontal="center" vertical="center" wrapText="1"/>
    </xf>
    <xf numFmtId="172" fontId="30" fillId="11" borderId="17" xfId="0" applyNumberFormat="1" applyFont="1" applyFill="1" applyBorder="1" applyAlignment="1">
      <alignment horizontal="center" vertical="center" wrapText="1"/>
    </xf>
    <xf numFmtId="172" fontId="30" fillId="11" borderId="10" xfId="0" applyNumberFormat="1" applyFont="1" applyFill="1" applyBorder="1" applyAlignment="1">
      <alignment horizontal="center" vertical="center"/>
    </xf>
    <xf numFmtId="172" fontId="30" fillId="11" borderId="12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169" fontId="8" fillId="8" borderId="0" xfId="0" applyNumberFormat="1" applyFont="1" applyFill="1" applyAlignment="1">
      <alignment horizontal="center"/>
    </xf>
    <xf numFmtId="0" fontId="19" fillId="5" borderId="0" xfId="0" applyFont="1" applyFill="1" applyAlignment="1">
      <alignment horizontal="left"/>
    </xf>
    <xf numFmtId="0" fontId="8" fillId="8" borderId="0" xfId="0" applyFont="1" applyFill="1" applyAlignment="1">
      <alignment horizontal="center"/>
    </xf>
    <xf numFmtId="171" fontId="8" fillId="8" borderId="0" xfId="0" applyNumberFormat="1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0" fillId="7" borderId="0" xfId="0" applyFont="1" applyFill="1" applyAlignment="1">
      <alignment horizontal="left"/>
    </xf>
    <xf numFmtId="172" fontId="7" fillId="5" borderId="1" xfId="0" applyNumberFormat="1" applyFont="1" applyFill="1" applyBorder="1" applyAlignment="1">
      <alignment horizontal="center"/>
    </xf>
    <xf numFmtId="0" fontId="29" fillId="12" borderId="1" xfId="0" applyFont="1" applyFill="1" applyBorder="1" applyAlignment="1">
      <alignment horizontal="center" vertical="center"/>
    </xf>
    <xf numFmtId="168" fontId="26" fillId="2" borderId="1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31" fillId="1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26" fillId="2" borderId="6" xfId="0" applyFont="1" applyFill="1" applyBorder="1" applyAlignment="1">
      <alignment horizontal="center"/>
    </xf>
    <xf numFmtId="0" fontId="26" fillId="2" borderId="5" xfId="0" applyFont="1" applyFill="1" applyBorder="1" applyAlignment="1">
      <alignment horizontal="center"/>
    </xf>
    <xf numFmtId="0" fontId="27" fillId="2" borderId="10" xfId="0" applyFont="1" applyFill="1" applyBorder="1" applyAlignment="1">
      <alignment horizontal="center" vertical="center"/>
    </xf>
    <xf numFmtId="0" fontId="27" fillId="2" borderId="0" xfId="0" applyFont="1" applyFill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0" fontId="27" fillId="2" borderId="2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DD7105"/>
      <color rgb="FFE37C1A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56</xdr:row>
      <xdr:rowOff>147864</xdr:rowOff>
    </xdr:from>
    <xdr:to>
      <xdr:col>1</xdr:col>
      <xdr:colOff>299357</xdr:colOff>
      <xdr:row>58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56</xdr:row>
      <xdr:rowOff>139247</xdr:rowOff>
    </xdr:from>
    <xdr:to>
      <xdr:col>1</xdr:col>
      <xdr:colOff>503464</xdr:colOff>
      <xdr:row>58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73</xdr:row>
      <xdr:rowOff>147864</xdr:rowOff>
    </xdr:from>
    <xdr:to>
      <xdr:col>2</xdr:col>
      <xdr:colOff>161126</xdr:colOff>
      <xdr:row>75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73</xdr:row>
      <xdr:rowOff>139247</xdr:rowOff>
    </xdr:from>
    <xdr:to>
      <xdr:col>2</xdr:col>
      <xdr:colOff>258536</xdr:colOff>
      <xdr:row>75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87</xdr:row>
      <xdr:rowOff>147864</xdr:rowOff>
    </xdr:from>
    <xdr:to>
      <xdr:col>1</xdr:col>
      <xdr:colOff>629124</xdr:colOff>
      <xdr:row>89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87</xdr:row>
      <xdr:rowOff>139248</xdr:rowOff>
    </xdr:from>
    <xdr:to>
      <xdr:col>2</xdr:col>
      <xdr:colOff>462643</xdr:colOff>
      <xdr:row>89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3</xdr:col>
      <xdr:colOff>607219</xdr:colOff>
      <xdr:row>49</xdr:row>
      <xdr:rowOff>59531</xdr:rowOff>
    </xdr:from>
    <xdr:to>
      <xdr:col>9</xdr:col>
      <xdr:colOff>218434</xdr:colOff>
      <xdr:row>54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48</xdr:row>
      <xdr:rowOff>174625</xdr:rowOff>
    </xdr:from>
    <xdr:to>
      <xdr:col>2</xdr:col>
      <xdr:colOff>119066</xdr:colOff>
      <xdr:row>54</xdr:row>
      <xdr:rowOff>130194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1</xdr:col>
      <xdr:colOff>119783</xdr:colOff>
      <xdr:row>0</xdr:row>
      <xdr:rowOff>173182</xdr:rowOff>
    </xdr:from>
    <xdr:to>
      <xdr:col>1</xdr:col>
      <xdr:colOff>1337841</xdr:colOff>
      <xdr:row>5</xdr:row>
      <xdr:rowOff>172046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306" y="173182"/>
          <a:ext cx="1218058" cy="12024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79078</xdr:rowOff>
    </xdr:from>
    <xdr:to>
      <xdr:col>8</xdr:col>
      <xdr:colOff>239621</xdr:colOff>
      <xdr:row>94</xdr:row>
      <xdr:rowOff>33834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0" y="18776300"/>
          <a:ext cx="7639885" cy="6276534"/>
        </a:xfrm>
        <a:prstGeom prst="rect">
          <a:avLst/>
        </a:prstGeom>
      </xdr:spPr>
    </xdr:pic>
    <xdr:clientData/>
  </xdr:twoCellAnchor>
  <xdr:twoCellAnchor editAs="oneCell">
    <xdr:from>
      <xdr:col>0</xdr:col>
      <xdr:colOff>809977</xdr:colOff>
      <xdr:row>96</xdr:row>
      <xdr:rowOff>166510</xdr:rowOff>
    </xdr:from>
    <xdr:to>
      <xdr:col>5</xdr:col>
      <xdr:colOff>280511</xdr:colOff>
      <xdr:row>111</xdr:row>
      <xdr:rowOff>177799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109"/>
  <sheetViews>
    <sheetView showGridLines="0" topLeftCell="A10" zoomScale="55" zoomScaleNormal="55" zoomScaleSheetLayoutView="80" workbookViewId="0">
      <selection activeCell="J14" sqref="J14"/>
    </sheetView>
  </sheetViews>
  <sheetFormatPr baseColWidth="10" defaultColWidth="10.85546875" defaultRowHeight="15"/>
  <cols>
    <col min="1" max="1" width="13.85546875" style="1" customWidth="1"/>
    <col min="2" max="2" width="28.28515625" style="1" bestFit="1" customWidth="1"/>
    <col min="3" max="3" width="4.28515625" style="1" customWidth="1"/>
    <col min="4" max="4" width="13.42578125" style="1" bestFit="1" customWidth="1"/>
    <col min="5" max="5" width="10.85546875" style="1" customWidth="1"/>
    <col min="6" max="6" width="12" style="1" customWidth="1"/>
    <col min="7" max="7" width="4" style="1" customWidth="1"/>
    <col min="8" max="8" width="10.42578125" style="1" bestFit="1" customWidth="1"/>
    <col min="9" max="9" width="13.7109375" style="1" customWidth="1"/>
    <col min="10" max="10" width="11.28515625" style="1" bestFit="1" customWidth="1"/>
    <col min="11" max="11" width="11.42578125" style="1" customWidth="1"/>
    <col min="12" max="12" width="7.140625" style="1" customWidth="1"/>
    <col min="13" max="13" width="14.5703125" style="1" customWidth="1"/>
    <col min="14" max="14" width="25.28515625" style="1" bestFit="1" customWidth="1"/>
    <col min="15" max="15" width="27.7109375" style="1" bestFit="1" customWidth="1"/>
    <col min="16" max="16" width="19.85546875" style="1" customWidth="1"/>
    <col min="17" max="17" width="20.140625" style="1" customWidth="1"/>
    <col min="18" max="18" width="11.42578125" style="1" customWidth="1"/>
    <col min="19" max="19" width="16.42578125" style="1" bestFit="1" customWidth="1"/>
    <col min="20" max="20" width="11.42578125" style="1" customWidth="1"/>
    <col min="21" max="16384" width="10.85546875" style="1"/>
  </cols>
  <sheetData>
    <row r="1" spans="1:11" ht="18.75" customHeight="1"/>
    <row r="2" spans="1:11" ht="18.75" customHeight="1"/>
    <row r="3" spans="1:11">
      <c r="C3" s="115" t="s">
        <v>128</v>
      </c>
      <c r="D3" s="115"/>
      <c r="E3" s="115"/>
      <c r="F3" s="115"/>
      <c r="G3" s="115"/>
    </row>
    <row r="4" spans="1:11">
      <c r="C4" s="115"/>
      <c r="D4" s="115"/>
      <c r="E4" s="115"/>
      <c r="F4" s="115"/>
      <c r="G4" s="115"/>
    </row>
    <row r="5" spans="1:11" ht="26.25">
      <c r="C5" s="116" t="s">
        <v>129</v>
      </c>
      <c r="D5" s="116"/>
      <c r="E5" s="116"/>
      <c r="F5" s="116"/>
      <c r="G5" s="116"/>
    </row>
    <row r="7" spans="1:11">
      <c r="D7" s="131" t="s">
        <v>102</v>
      </c>
      <c r="E7" s="131"/>
      <c r="F7" s="131"/>
    </row>
    <row r="8" spans="1:11">
      <c r="A8" s="33" t="s">
        <v>78</v>
      </c>
      <c r="B8" s="47"/>
      <c r="D8" s="64" t="s">
        <v>24</v>
      </c>
      <c r="E8" s="65" t="s">
        <v>25</v>
      </c>
      <c r="F8" s="66"/>
      <c r="G8" s="31"/>
      <c r="H8" s="1" t="s">
        <v>30</v>
      </c>
      <c r="I8" s="134">
        <f>+'2'!D5</f>
        <v>1</v>
      </c>
      <c r="J8" s="134"/>
      <c r="K8" s="134"/>
    </row>
    <row r="9" spans="1:11">
      <c r="A9" s="33" t="s">
        <v>101</v>
      </c>
      <c r="B9" s="47"/>
      <c r="D9" s="67" t="s">
        <v>94</v>
      </c>
      <c r="E9" s="117">
        <f ca="1">+TODAY()</f>
        <v>46055</v>
      </c>
      <c r="F9" s="118"/>
      <c r="G9" s="31"/>
      <c r="H9" s="1" t="s">
        <v>29</v>
      </c>
      <c r="I9" s="135">
        <f>+'2'!D6</f>
        <v>23.2</v>
      </c>
      <c r="J9" s="135"/>
      <c r="K9" s="135"/>
    </row>
    <row r="10" spans="1:11">
      <c r="A10" s="33" t="s">
        <v>100</v>
      </c>
      <c r="B10" s="47"/>
      <c r="D10" s="74" t="s">
        <v>26</v>
      </c>
      <c r="E10" s="1" t="s">
        <v>27</v>
      </c>
      <c r="F10" s="73"/>
      <c r="G10" s="31"/>
      <c r="H10" s="1" t="s">
        <v>72</v>
      </c>
      <c r="I10" s="80">
        <v>0</v>
      </c>
      <c r="J10" s="80">
        <v>0</v>
      </c>
      <c r="K10" s="80">
        <v>0</v>
      </c>
    </row>
    <row r="11" spans="1:11">
      <c r="A11" s="33" t="s">
        <v>23</v>
      </c>
      <c r="B11" s="53"/>
      <c r="D11" s="68" t="s">
        <v>22</v>
      </c>
      <c r="E11" s="38" t="s">
        <v>79</v>
      </c>
      <c r="F11" s="69"/>
      <c r="H11" s="1" t="s">
        <v>28</v>
      </c>
      <c r="I11" s="132">
        <f>+'2'!D8</f>
        <v>8.4000000000000005E-2</v>
      </c>
      <c r="J11" s="132"/>
      <c r="K11" s="132"/>
    </row>
    <row r="13" spans="1:11">
      <c r="A13" s="133" t="s">
        <v>31</v>
      </c>
      <c r="B13" s="133"/>
      <c r="C13" s="133"/>
      <c r="D13" s="133"/>
      <c r="E13" s="133"/>
      <c r="F13" s="58"/>
      <c r="G13" s="58"/>
      <c r="H13" s="60"/>
      <c r="I13" s="60"/>
      <c r="J13" s="36" t="s">
        <v>34</v>
      </c>
      <c r="K13" s="36" t="s">
        <v>33</v>
      </c>
    </row>
    <row r="14" spans="1:11">
      <c r="A14" s="138" t="s">
        <v>36</v>
      </c>
      <c r="B14" s="138"/>
      <c r="C14" s="138"/>
      <c r="D14" s="31"/>
      <c r="E14" s="31"/>
      <c r="F14" s="31"/>
      <c r="G14" s="31"/>
      <c r="J14" s="45">
        <f>'2'!D18</f>
        <v>1220</v>
      </c>
      <c r="K14" s="34" t="s">
        <v>35</v>
      </c>
    </row>
    <row r="15" spans="1:11">
      <c r="A15" s="137" t="s">
        <v>32</v>
      </c>
      <c r="B15" s="137"/>
      <c r="C15" s="137"/>
      <c r="D15" s="38"/>
      <c r="E15" s="38"/>
      <c r="F15" s="38"/>
      <c r="G15" s="38"/>
      <c r="H15" s="38"/>
      <c r="I15" s="38"/>
      <c r="J15" s="46" t="e">
        <f>IF(I11&lt;1,'2'!D21+'2'!D24,60%*(#REF!*I11)+'2'!D24)</f>
        <v>#REF!</v>
      </c>
      <c r="K15" s="39" t="s">
        <v>35</v>
      </c>
    </row>
    <row r="16" spans="1:11">
      <c r="A16" s="33" t="s">
        <v>7</v>
      </c>
      <c r="B16" s="31"/>
      <c r="C16" s="31"/>
      <c r="D16" s="31"/>
      <c r="E16" s="31"/>
      <c r="F16" s="31"/>
      <c r="G16" s="31"/>
      <c r="H16" s="31"/>
      <c r="I16" s="31"/>
      <c r="J16" s="45" t="e">
        <f>SUM(J14:J15)</f>
        <v>#REF!</v>
      </c>
      <c r="K16" s="34" t="s">
        <v>35</v>
      </c>
    </row>
    <row r="17" spans="1:12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</row>
    <row r="18" spans="1:12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</row>
    <row r="19" spans="1:12">
      <c r="A19" s="133" t="s">
        <v>92</v>
      </c>
      <c r="B19" s="133"/>
      <c r="C19" s="133"/>
      <c r="D19" s="133"/>
      <c r="E19" s="133"/>
      <c r="F19" s="58"/>
      <c r="G19" s="58"/>
      <c r="H19" s="58"/>
      <c r="I19" s="36" t="s">
        <v>42</v>
      </c>
      <c r="J19" s="36" t="s">
        <v>34</v>
      </c>
      <c r="K19" s="36" t="s">
        <v>33</v>
      </c>
    </row>
    <row r="20" spans="1:12">
      <c r="A20" s="31" t="s">
        <v>37</v>
      </c>
      <c r="B20" s="31"/>
      <c r="C20" s="31"/>
      <c r="D20" s="31"/>
      <c r="E20" s="31"/>
      <c r="F20" s="31"/>
      <c r="G20" s="31"/>
      <c r="H20" s="31"/>
      <c r="I20" s="61">
        <f>MAX('2'!C33:C33)</f>
        <v>0</v>
      </c>
      <c r="J20" s="45" t="e">
        <f>'2'!D34</f>
        <v>#REF!</v>
      </c>
      <c r="K20" s="34" t="s">
        <v>35</v>
      </c>
    </row>
    <row r="21" spans="1:12">
      <c r="A21" s="31" t="s">
        <v>38</v>
      </c>
      <c r="B21" s="31"/>
      <c r="C21" s="31"/>
      <c r="D21" s="31"/>
      <c r="E21" s="31"/>
      <c r="F21" s="31"/>
      <c r="G21" s="31"/>
      <c r="H21" s="31"/>
      <c r="I21" s="61">
        <v>0.16</v>
      </c>
      <c r="J21" s="45" t="e">
        <f>'2'!D35</f>
        <v>#REF!</v>
      </c>
      <c r="K21" s="34" t="s">
        <v>35</v>
      </c>
    </row>
    <row r="22" spans="1:12">
      <c r="A22" s="31" t="s">
        <v>39</v>
      </c>
      <c r="B22" s="31"/>
      <c r="C22" s="31"/>
      <c r="D22" s="31"/>
      <c r="E22" s="31"/>
      <c r="F22" s="31"/>
      <c r="G22" s="31"/>
      <c r="H22" s="31"/>
      <c r="I22" s="61">
        <v>0.02</v>
      </c>
      <c r="J22" s="45" t="e">
        <f>'2'!D36</f>
        <v>#REF!</v>
      </c>
      <c r="K22" s="34" t="s">
        <v>35</v>
      </c>
    </row>
    <row r="23" spans="1:12">
      <c r="A23" s="38" t="s">
        <v>40</v>
      </c>
      <c r="B23" s="38"/>
      <c r="C23" s="38"/>
      <c r="D23" s="38"/>
      <c r="E23" s="38"/>
      <c r="F23" s="38"/>
      <c r="G23" s="38"/>
      <c r="H23" s="38"/>
      <c r="I23" s="75">
        <f>MAX('2'!C30:C30)</f>
        <v>0</v>
      </c>
      <c r="J23" s="46">
        <f>'2'!D31</f>
        <v>0</v>
      </c>
      <c r="K23" s="39" t="s">
        <v>35</v>
      </c>
    </row>
    <row r="24" spans="1:12">
      <c r="A24" s="33" t="s">
        <v>43</v>
      </c>
      <c r="B24" s="31"/>
      <c r="C24" s="31"/>
      <c r="D24" s="31"/>
      <c r="E24" s="31"/>
      <c r="F24" s="31"/>
      <c r="G24" s="31"/>
      <c r="H24" s="31"/>
      <c r="I24" s="34"/>
      <c r="J24" s="45" t="e">
        <f>SUM(J20:J23)</f>
        <v>#REF!</v>
      </c>
      <c r="K24" s="34" t="s">
        <v>35</v>
      </c>
    </row>
    <row r="25" spans="1:12">
      <c r="A25" s="31"/>
      <c r="B25" s="31"/>
      <c r="C25" s="31"/>
      <c r="D25" s="31"/>
      <c r="E25" s="31"/>
      <c r="F25" s="31"/>
      <c r="G25" s="31"/>
      <c r="H25" s="31"/>
      <c r="I25" s="2"/>
      <c r="J25" s="37"/>
      <c r="K25" s="34"/>
    </row>
    <row r="26" spans="1:12">
      <c r="A26" s="38" t="s">
        <v>41</v>
      </c>
      <c r="B26" s="38"/>
      <c r="C26" s="38"/>
      <c r="D26" s="38"/>
      <c r="E26" s="38"/>
      <c r="F26" s="38"/>
      <c r="G26" s="38"/>
      <c r="H26" s="38"/>
      <c r="I26" s="62" t="s">
        <v>73</v>
      </c>
      <c r="J26" s="46" t="e">
        <f>'2'!D37</f>
        <v>#REF!</v>
      </c>
      <c r="K26" s="39" t="s">
        <v>35</v>
      </c>
    </row>
    <row r="27" spans="1:12">
      <c r="A27" s="33" t="s">
        <v>8</v>
      </c>
      <c r="B27" s="31"/>
      <c r="C27" s="31"/>
      <c r="D27" s="31"/>
      <c r="E27" s="31"/>
      <c r="F27" s="31"/>
      <c r="G27" s="31"/>
      <c r="H27" s="31"/>
      <c r="J27" s="45" t="e">
        <f>J24+J26</f>
        <v>#REF!</v>
      </c>
      <c r="K27" s="34" t="s">
        <v>35</v>
      </c>
    </row>
    <row r="29" spans="1:12" ht="15.75">
      <c r="A29" s="145" t="s">
        <v>89</v>
      </c>
      <c r="B29" s="145"/>
      <c r="C29" s="145"/>
      <c r="D29" s="145"/>
      <c r="E29" s="145"/>
      <c r="F29" s="78"/>
      <c r="G29" s="78"/>
      <c r="H29" s="79"/>
      <c r="I29" s="79"/>
      <c r="J29" s="79" t="s">
        <v>34</v>
      </c>
      <c r="K29" s="79" t="s">
        <v>33</v>
      </c>
    </row>
    <row r="30" spans="1:12">
      <c r="A30" s="31" t="s">
        <v>91</v>
      </c>
      <c r="B30" s="31"/>
      <c r="C30" s="31"/>
      <c r="D30" s="31"/>
      <c r="E30" s="31"/>
      <c r="F30" s="31"/>
      <c r="G30" s="31"/>
      <c r="H30" s="45"/>
      <c r="I30" s="45"/>
      <c r="J30" s="45" t="e">
        <f>+'2'!D45+'2'!D21</f>
        <v>#REF!</v>
      </c>
      <c r="K30" s="34" t="s">
        <v>35</v>
      </c>
    </row>
    <row r="31" spans="1:12">
      <c r="A31" s="31" t="s">
        <v>126</v>
      </c>
      <c r="B31" s="31"/>
      <c r="C31" s="31"/>
      <c r="D31" s="31"/>
      <c r="E31" s="31"/>
      <c r="F31" s="31"/>
      <c r="G31" s="31"/>
      <c r="H31" s="45"/>
      <c r="I31" s="45"/>
      <c r="J31" s="45">
        <v>50</v>
      </c>
      <c r="K31" s="34" t="s">
        <v>35</v>
      </c>
    </row>
    <row r="32" spans="1:12">
      <c r="A32" s="106" t="s">
        <v>127</v>
      </c>
      <c r="B32" s="31"/>
      <c r="C32" s="31"/>
      <c r="D32" s="31"/>
      <c r="E32" s="31"/>
      <c r="F32" s="31"/>
      <c r="G32" s="31"/>
      <c r="H32" s="45"/>
      <c r="I32" s="45"/>
      <c r="J32" s="107">
        <v>100</v>
      </c>
      <c r="K32" s="34" t="s">
        <v>35</v>
      </c>
      <c r="L32" s="94"/>
    </row>
    <row r="33" spans="1:19">
      <c r="A33" s="38" t="s">
        <v>44</v>
      </c>
      <c r="B33" s="38"/>
      <c r="C33" s="38"/>
      <c r="D33" s="38"/>
      <c r="E33" s="38"/>
      <c r="F33" s="38"/>
      <c r="G33" s="38"/>
      <c r="H33" s="46"/>
      <c r="I33" s="46"/>
      <c r="J33" s="46" t="e">
        <f>J27</f>
        <v>#REF!</v>
      </c>
      <c r="K33" s="39" t="s">
        <v>35</v>
      </c>
      <c r="N33" s="2"/>
    </row>
    <row r="34" spans="1:19">
      <c r="A34" s="33" t="s">
        <v>90</v>
      </c>
      <c r="B34" s="31"/>
      <c r="C34" s="31"/>
      <c r="D34" s="31"/>
      <c r="E34" s="31"/>
      <c r="F34" s="31"/>
      <c r="G34" s="31"/>
      <c r="H34" s="45"/>
      <c r="I34" s="45"/>
      <c r="J34" s="45" t="e">
        <f>(J30+J31+J33)-J32</f>
        <v>#REF!</v>
      </c>
      <c r="K34" s="34" t="s">
        <v>35</v>
      </c>
      <c r="M34" s="121" t="s">
        <v>107</v>
      </c>
      <c r="N34" s="121"/>
      <c r="O34" s="121"/>
      <c r="P34" s="121"/>
      <c r="Q34" s="121"/>
    </row>
    <row r="35" spans="1:19" ht="20.25" customHeight="1">
      <c r="A35" s="33"/>
      <c r="B35" s="31"/>
      <c r="C35" s="31"/>
      <c r="D35" s="31"/>
      <c r="E35" s="31"/>
      <c r="F35" s="31"/>
      <c r="G35" s="31"/>
      <c r="H35" s="37"/>
      <c r="I35" s="37"/>
      <c r="J35" s="37"/>
      <c r="K35" s="34"/>
      <c r="M35" s="122"/>
      <c r="N35" s="122"/>
      <c r="O35" s="122"/>
      <c r="P35" s="122"/>
      <c r="Q35" s="122"/>
    </row>
    <row r="36" spans="1:19" ht="15" customHeight="1">
      <c r="A36" s="141" t="s">
        <v>93</v>
      </c>
      <c r="B36" s="142"/>
      <c r="C36" s="142"/>
      <c r="D36" s="142"/>
      <c r="E36" s="142"/>
      <c r="F36" s="142"/>
      <c r="G36" s="142"/>
      <c r="H36" s="142"/>
      <c r="I36" s="142"/>
      <c r="J36" s="142"/>
      <c r="K36" s="143"/>
      <c r="M36" s="129" t="s">
        <v>46</v>
      </c>
      <c r="N36" s="127" t="s">
        <v>76</v>
      </c>
      <c r="O36" s="123" t="s">
        <v>103</v>
      </c>
      <c r="P36" s="125" t="s">
        <v>104</v>
      </c>
      <c r="Q36" s="119" t="s">
        <v>105</v>
      </c>
    </row>
    <row r="37" spans="1:19" ht="17.25" customHeight="1">
      <c r="A37" s="59" t="s">
        <v>46</v>
      </c>
      <c r="B37" s="139" t="s">
        <v>76</v>
      </c>
      <c r="C37" s="144"/>
      <c r="D37" s="140"/>
      <c r="E37" s="7" t="s">
        <v>1</v>
      </c>
      <c r="F37" s="139" t="s">
        <v>77</v>
      </c>
      <c r="G37" s="140"/>
      <c r="H37" s="5" t="s">
        <v>74</v>
      </c>
      <c r="I37" s="70" t="s">
        <v>8</v>
      </c>
      <c r="J37" s="146" t="s">
        <v>75</v>
      </c>
      <c r="K37" s="146"/>
      <c r="M37" s="130"/>
      <c r="N37" s="128"/>
      <c r="O37" s="124"/>
      <c r="P37" s="126"/>
      <c r="Q37" s="120"/>
    </row>
    <row r="38" spans="1:19" s="111" customFormat="1" ht="15.75">
      <c r="A38" s="108" t="s">
        <v>8</v>
      </c>
      <c r="B38" s="109"/>
      <c r="C38" s="109"/>
      <c r="D38" s="109"/>
      <c r="E38" s="110" t="e">
        <f>+SUM(#REF!)</f>
        <v>#REF!</v>
      </c>
      <c r="F38" s="109"/>
      <c r="G38" s="109"/>
      <c r="I38" s="112" t="e">
        <f>+SUM(#REF!)</f>
        <v>#REF!</v>
      </c>
      <c r="J38" s="113"/>
      <c r="K38" s="114"/>
      <c r="L38" s="109"/>
    </row>
    <row r="39" spans="1:19" ht="15.75" customHeight="1">
      <c r="A39" s="63"/>
      <c r="B39" s="2"/>
      <c r="C39" s="2"/>
      <c r="D39" s="2"/>
      <c r="E39" s="43"/>
      <c r="F39" s="2"/>
      <c r="G39" s="2"/>
      <c r="I39" s="83"/>
      <c r="J39" s="71"/>
      <c r="K39" s="72"/>
      <c r="M39" s="152" t="s">
        <v>106</v>
      </c>
      <c r="N39" s="152"/>
      <c r="O39" s="152"/>
      <c r="P39" s="156" t="s">
        <v>112</v>
      </c>
      <c r="Q39" s="157"/>
    </row>
    <row r="40" spans="1:19" ht="18.75" customHeight="1">
      <c r="A40" s="81" t="s">
        <v>53</v>
      </c>
      <c r="B40" s="31"/>
      <c r="C40" s="31"/>
      <c r="D40" s="31"/>
      <c r="E40" s="31"/>
      <c r="F40" s="31"/>
      <c r="G40" s="31"/>
      <c r="H40" s="31"/>
      <c r="I40" s="31"/>
      <c r="J40" s="31"/>
      <c r="M40" s="152"/>
      <c r="N40" s="152"/>
      <c r="O40" s="152"/>
      <c r="P40" s="158"/>
      <c r="Q40" s="159"/>
    </row>
    <row r="41" spans="1:19" ht="21">
      <c r="A41" s="82" t="s">
        <v>84</v>
      </c>
      <c r="B41" s="31"/>
      <c r="C41" s="31"/>
      <c r="D41" s="31"/>
      <c r="E41" s="31"/>
      <c r="F41" s="31"/>
      <c r="G41" s="31"/>
      <c r="H41" s="31"/>
      <c r="I41" s="31"/>
      <c r="J41" s="31"/>
      <c r="M41" s="154" t="s">
        <v>108</v>
      </c>
      <c r="N41" s="155"/>
      <c r="O41" s="90" t="e">
        <f>+J31+J30-J32</f>
        <v>#REF!</v>
      </c>
      <c r="P41" s="89" t="s">
        <v>123</v>
      </c>
    </row>
    <row r="42" spans="1:19" ht="21">
      <c r="A42" s="82" t="s">
        <v>85</v>
      </c>
      <c r="B42" s="31"/>
      <c r="C42" s="31"/>
      <c r="D42" s="31"/>
      <c r="E42" s="31"/>
      <c r="F42" s="31"/>
      <c r="G42" s="31"/>
      <c r="H42" s="31"/>
      <c r="I42" s="31"/>
      <c r="J42" s="31"/>
      <c r="M42" s="154" t="s">
        <v>109</v>
      </c>
      <c r="N42" s="155"/>
      <c r="O42" s="90" t="e">
        <f>+J33</f>
        <v>#REF!</v>
      </c>
      <c r="P42" s="89" t="s">
        <v>124</v>
      </c>
    </row>
    <row r="43" spans="1:19" ht="18.75">
      <c r="A43" s="82" t="s">
        <v>96</v>
      </c>
      <c r="B43" s="31"/>
      <c r="C43" s="31"/>
      <c r="D43" s="31"/>
      <c r="E43" s="31"/>
      <c r="F43" s="31"/>
      <c r="G43" s="31"/>
      <c r="H43" s="31"/>
      <c r="I43" s="31"/>
      <c r="J43" s="31"/>
    </row>
    <row r="44" spans="1:19" ht="18.75">
      <c r="A44" s="82" t="s">
        <v>86</v>
      </c>
      <c r="B44" s="31"/>
      <c r="C44" s="31"/>
      <c r="D44" s="31"/>
      <c r="E44" s="31"/>
      <c r="F44" s="31"/>
      <c r="G44" s="31"/>
      <c r="H44" s="31"/>
      <c r="I44" s="31"/>
      <c r="J44" s="31"/>
      <c r="M44" s="147" t="s">
        <v>111</v>
      </c>
      <c r="N44" s="147"/>
      <c r="O44" s="148" t="e">
        <f>+O41+O42+J14</f>
        <v>#REF!</v>
      </c>
      <c r="P44" s="150" t="s">
        <v>110</v>
      </c>
      <c r="Q44" s="151"/>
      <c r="S44" s="153"/>
    </row>
    <row r="45" spans="1:19" ht="18.75" customHeight="1">
      <c r="A45" s="82" t="s">
        <v>97</v>
      </c>
      <c r="B45" s="31"/>
      <c r="C45" s="31"/>
      <c r="D45" s="31"/>
      <c r="E45" s="31"/>
      <c r="F45" s="31"/>
      <c r="G45" s="31"/>
      <c r="H45" s="31"/>
      <c r="I45" s="31"/>
      <c r="J45" s="31"/>
      <c r="M45" s="147"/>
      <c r="N45" s="147"/>
      <c r="O45" s="149"/>
      <c r="P45" s="150"/>
      <c r="Q45" s="151"/>
      <c r="S45" s="153"/>
    </row>
    <row r="46" spans="1:19" ht="18.75" customHeight="1">
      <c r="A46" s="82" t="s">
        <v>98</v>
      </c>
      <c r="B46" s="31"/>
      <c r="C46" s="31"/>
      <c r="D46" s="31"/>
      <c r="E46" s="31"/>
      <c r="F46" s="31"/>
      <c r="G46" s="31"/>
      <c r="H46" s="31"/>
      <c r="I46" s="31"/>
      <c r="J46" s="31"/>
      <c r="S46" s="153"/>
    </row>
    <row r="47" spans="1:19" ht="18.75">
      <c r="A47" s="82" t="s">
        <v>99</v>
      </c>
      <c r="B47" s="31"/>
      <c r="C47" s="31"/>
      <c r="D47" s="31"/>
      <c r="E47" s="31"/>
      <c r="F47" s="31"/>
      <c r="G47" s="31"/>
      <c r="H47" s="31"/>
      <c r="I47" s="31"/>
      <c r="J47" s="31"/>
      <c r="S47" s="153"/>
    </row>
    <row r="48" spans="1:19" ht="18.75">
      <c r="A48" s="82" t="s">
        <v>95</v>
      </c>
      <c r="B48" s="31"/>
      <c r="C48" s="31"/>
      <c r="D48" s="31"/>
      <c r="E48" s="31"/>
      <c r="F48" s="31"/>
      <c r="G48" s="31"/>
      <c r="H48" s="31"/>
      <c r="I48" s="31"/>
      <c r="J48" s="31"/>
      <c r="S48" s="153"/>
    </row>
    <row r="49" spans="1:19">
      <c r="A49" s="31"/>
      <c r="B49" s="31"/>
      <c r="C49" s="31"/>
      <c r="D49" s="31"/>
      <c r="E49" s="31"/>
      <c r="F49" s="31"/>
      <c r="G49" s="31"/>
      <c r="H49" s="31"/>
      <c r="I49" s="31"/>
      <c r="J49" s="31"/>
      <c r="S49" s="153"/>
    </row>
    <row r="51" spans="1:19" ht="18.75">
      <c r="H51" s="32"/>
      <c r="I51" s="32"/>
      <c r="J51" s="32"/>
      <c r="K51" s="31"/>
    </row>
    <row r="52" spans="1:19" ht="18.75">
      <c r="H52" s="32"/>
      <c r="I52" s="32"/>
      <c r="J52" s="32"/>
      <c r="K52" s="31"/>
    </row>
    <row r="54" spans="1:19">
      <c r="H54" s="40"/>
      <c r="I54" s="40"/>
      <c r="J54" s="40"/>
    </row>
    <row r="56" spans="1:19" ht="21">
      <c r="A56" s="136" t="s">
        <v>45</v>
      </c>
      <c r="B56" s="136"/>
      <c r="C56" s="136"/>
      <c r="D56" s="136"/>
      <c r="E56" s="136"/>
      <c r="F56" s="136"/>
      <c r="G56" s="136"/>
      <c r="H56" s="136"/>
      <c r="I56" s="136"/>
      <c r="J56" s="136"/>
      <c r="K56" s="136"/>
    </row>
    <row r="60" spans="1:19">
      <c r="A60" s="49" t="s">
        <v>47</v>
      </c>
      <c r="B60" s="31"/>
      <c r="C60" s="31"/>
      <c r="D60" s="31"/>
    </row>
    <row r="61" spans="1:19">
      <c r="A61" s="49" t="s">
        <v>55</v>
      </c>
      <c r="B61" s="31"/>
      <c r="C61" s="31"/>
      <c r="D61" s="31"/>
    </row>
    <row r="62" spans="1:19">
      <c r="A62" s="31" t="s">
        <v>54</v>
      </c>
      <c r="C62" s="31"/>
      <c r="D62" s="31"/>
    </row>
    <row r="63" spans="1:19">
      <c r="A63" s="49" t="s">
        <v>48</v>
      </c>
      <c r="B63" s="31"/>
      <c r="C63" s="31"/>
      <c r="D63" s="31"/>
    </row>
    <row r="64" spans="1:19">
      <c r="A64" s="49" t="s">
        <v>57</v>
      </c>
      <c r="B64" s="31"/>
      <c r="C64" s="31"/>
      <c r="D64" s="31"/>
    </row>
    <row r="65" spans="1:10">
      <c r="A65" s="31" t="s">
        <v>56</v>
      </c>
      <c r="C65" s="31"/>
      <c r="D65" s="31"/>
    </row>
    <row r="66" spans="1:10">
      <c r="A66" s="49" t="s">
        <v>49</v>
      </c>
      <c r="B66" s="31"/>
      <c r="C66" s="31"/>
      <c r="D66" s="31"/>
    </row>
    <row r="67" spans="1:10">
      <c r="A67" s="49" t="s">
        <v>51</v>
      </c>
      <c r="B67" s="31"/>
      <c r="C67" s="31"/>
      <c r="D67" s="31"/>
    </row>
    <row r="68" spans="1:10">
      <c r="A68" s="49" t="s">
        <v>58</v>
      </c>
      <c r="B68" s="31"/>
      <c r="C68" s="31"/>
      <c r="D68" s="31"/>
    </row>
    <row r="69" spans="1:10">
      <c r="A69" s="49" t="s">
        <v>59</v>
      </c>
      <c r="B69" s="31"/>
      <c r="C69" s="31"/>
      <c r="D69" s="31"/>
    </row>
    <row r="70" spans="1:10">
      <c r="A70" s="49" t="s">
        <v>61</v>
      </c>
      <c r="B70" s="31"/>
      <c r="C70" s="31"/>
      <c r="D70" s="31"/>
    </row>
    <row r="71" spans="1:10">
      <c r="A71" s="49" t="s">
        <v>60</v>
      </c>
      <c r="B71" s="31"/>
      <c r="C71" s="31"/>
      <c r="D71" s="31"/>
    </row>
    <row r="72" spans="1:10">
      <c r="A72" s="49" t="s">
        <v>50</v>
      </c>
      <c r="B72" s="31"/>
      <c r="C72" s="31"/>
      <c r="D72" s="31"/>
    </row>
    <row r="73" spans="1:10">
      <c r="A73" s="49" t="s">
        <v>116</v>
      </c>
      <c r="B73" s="31"/>
      <c r="C73" s="31"/>
      <c r="D73" s="31"/>
    </row>
    <row r="77" spans="1:10">
      <c r="A77" s="49" t="s">
        <v>62</v>
      </c>
      <c r="B77" s="31"/>
      <c r="C77" s="31"/>
      <c r="D77" s="31"/>
      <c r="E77" s="31"/>
      <c r="F77" s="31"/>
      <c r="G77" s="31"/>
      <c r="H77" s="31"/>
      <c r="I77" s="31"/>
      <c r="J77" s="31"/>
    </row>
    <row r="78" spans="1:10">
      <c r="A78" s="92" t="s">
        <v>113</v>
      </c>
      <c r="B78" s="31"/>
      <c r="C78" s="31"/>
      <c r="D78" s="31"/>
      <c r="E78" s="31"/>
      <c r="F78" s="31"/>
      <c r="G78" s="31"/>
      <c r="H78" s="31"/>
      <c r="I78" s="31"/>
      <c r="J78" s="31"/>
    </row>
    <row r="79" spans="1:10">
      <c r="A79" s="49" t="s">
        <v>63</v>
      </c>
      <c r="B79" s="31"/>
      <c r="C79" s="31"/>
      <c r="D79" s="31"/>
      <c r="E79" s="31"/>
      <c r="F79" s="31"/>
      <c r="G79" s="31"/>
      <c r="H79" s="31"/>
      <c r="I79" s="31"/>
      <c r="J79" s="31"/>
    </row>
    <row r="80" spans="1:10">
      <c r="A80" s="91" t="s">
        <v>114</v>
      </c>
      <c r="C80" s="31"/>
      <c r="D80" s="31"/>
      <c r="E80" s="31"/>
      <c r="F80" s="31"/>
      <c r="G80" s="31"/>
      <c r="H80" s="31"/>
      <c r="I80" s="31"/>
      <c r="J80" s="31"/>
    </row>
    <row r="81" spans="1:10">
      <c r="A81" s="49" t="s">
        <v>64</v>
      </c>
      <c r="B81" s="31"/>
      <c r="C81" s="31"/>
      <c r="D81" s="31"/>
      <c r="E81" s="31"/>
      <c r="F81" s="31"/>
      <c r="G81" s="31"/>
      <c r="H81" s="31"/>
      <c r="I81" s="31"/>
      <c r="J81" s="31"/>
    </row>
    <row r="82" spans="1:10">
      <c r="A82" s="35" t="s">
        <v>52</v>
      </c>
      <c r="C82" s="31"/>
      <c r="D82" s="31"/>
      <c r="E82" s="31"/>
      <c r="F82" s="31"/>
      <c r="G82" s="31"/>
      <c r="H82" s="31"/>
      <c r="I82" s="31"/>
      <c r="J82" s="31"/>
    </row>
    <row r="83" spans="1:10">
      <c r="A83" s="49" t="s">
        <v>65</v>
      </c>
      <c r="B83" s="31"/>
      <c r="C83" s="31"/>
      <c r="D83" s="31"/>
      <c r="E83" s="31"/>
      <c r="F83" s="31"/>
      <c r="G83" s="31"/>
      <c r="H83" s="31"/>
      <c r="I83" s="31"/>
      <c r="J83" s="31"/>
    </row>
    <row r="84" spans="1:10">
      <c r="A84" s="49" t="s">
        <v>66</v>
      </c>
      <c r="B84" s="31"/>
      <c r="C84" s="31"/>
      <c r="D84" s="31"/>
      <c r="E84" s="31"/>
      <c r="F84" s="31"/>
      <c r="G84" s="31"/>
      <c r="H84" s="31"/>
      <c r="I84" s="31"/>
      <c r="J84" s="31"/>
    </row>
    <row r="85" spans="1:10">
      <c r="A85" s="49" t="s">
        <v>67</v>
      </c>
      <c r="B85" s="31"/>
      <c r="C85" s="31"/>
      <c r="D85" s="31"/>
      <c r="E85" s="31"/>
      <c r="F85" s="31"/>
      <c r="G85" s="31"/>
      <c r="H85" s="31"/>
      <c r="I85" s="31"/>
      <c r="J85" s="31"/>
    </row>
    <row r="86" spans="1:10">
      <c r="A86" s="49" t="s">
        <v>68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49" t="s">
        <v>115</v>
      </c>
      <c r="B87" s="31"/>
      <c r="C87" s="31"/>
      <c r="D87" s="31"/>
      <c r="E87" s="31"/>
      <c r="F87" s="31"/>
      <c r="G87" s="31"/>
      <c r="H87" s="31"/>
      <c r="I87" s="31"/>
      <c r="J87" s="31"/>
    </row>
    <row r="91" spans="1:10">
      <c r="A91" s="49" t="s">
        <v>80</v>
      </c>
      <c r="B91" s="31"/>
      <c r="C91" s="31"/>
      <c r="D91" s="31"/>
    </row>
    <row r="92" spans="1:10">
      <c r="A92" s="49" t="s">
        <v>81</v>
      </c>
      <c r="B92" s="31"/>
      <c r="C92" s="31"/>
      <c r="D92" s="31"/>
    </row>
    <row r="93" spans="1:10">
      <c r="A93" s="41" t="s">
        <v>117</v>
      </c>
      <c r="B93" s="31"/>
      <c r="C93" s="31"/>
      <c r="D93" s="31"/>
    </row>
    <row r="94" spans="1:10">
      <c r="A94" s="41" t="s">
        <v>118</v>
      </c>
    </row>
    <row r="95" spans="1:10">
      <c r="A95" s="41" t="s">
        <v>119</v>
      </c>
    </row>
    <row r="100" spans="2:10">
      <c r="B100" s="41"/>
    </row>
    <row r="101" spans="2:10" ht="15.75">
      <c r="B101" s="42"/>
    </row>
    <row r="102" spans="2:10" ht="15.75">
      <c r="B102" s="42"/>
    </row>
    <row r="104" spans="2:10">
      <c r="C104" s="43"/>
      <c r="H104" s="43"/>
      <c r="I104" s="43"/>
      <c r="J104" s="43"/>
    </row>
    <row r="105" spans="2:10">
      <c r="C105" s="43"/>
      <c r="H105" s="43"/>
      <c r="I105" s="43"/>
      <c r="J105" s="43"/>
    </row>
    <row r="107" spans="2:10">
      <c r="C107" s="2"/>
      <c r="H107" s="2"/>
      <c r="I107" s="2"/>
      <c r="J107" s="2"/>
    </row>
    <row r="109" spans="2:10" ht="15.75">
      <c r="B109" s="44"/>
    </row>
  </sheetData>
  <sheetProtection selectLockedCells="1"/>
  <mergeCells count="31">
    <mergeCell ref="M44:N45"/>
    <mergeCell ref="O44:O45"/>
    <mergeCell ref="P44:Q45"/>
    <mergeCell ref="M39:O40"/>
    <mergeCell ref="S44:S49"/>
    <mergeCell ref="M41:N41"/>
    <mergeCell ref="M42:N42"/>
    <mergeCell ref="P39:Q40"/>
    <mergeCell ref="A56:K56"/>
    <mergeCell ref="A15:C15"/>
    <mergeCell ref="A14:C14"/>
    <mergeCell ref="F37:G37"/>
    <mergeCell ref="A36:K36"/>
    <mergeCell ref="B37:D37"/>
    <mergeCell ref="A29:E29"/>
    <mergeCell ref="A19:E19"/>
    <mergeCell ref="J37:K37"/>
    <mergeCell ref="C3:G4"/>
    <mergeCell ref="C5:G5"/>
    <mergeCell ref="E9:F9"/>
    <mergeCell ref="Q36:Q37"/>
    <mergeCell ref="M34:Q35"/>
    <mergeCell ref="O36:O37"/>
    <mergeCell ref="P36:P37"/>
    <mergeCell ref="N36:N37"/>
    <mergeCell ref="M36:M37"/>
    <mergeCell ref="D7:F7"/>
    <mergeCell ref="I11:K11"/>
    <mergeCell ref="A13:E13"/>
    <mergeCell ref="I8:K8"/>
    <mergeCell ref="I9:K9"/>
  </mergeCells>
  <dataValidations disablePrompts="1" count="2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  <dataValidation type="list" allowBlank="1" showInputMessage="1" showErrorMessage="1" sqref="E11" xr:uid="{543061A4-B74B-4C59-A4B0-2AF20D851021}">
      <formula1>#REF!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49" max="10" man="1"/>
  </rowBreaks>
  <cellWatches>
    <cellWatch r="J16"/>
  </cellWatches>
  <ignoredErrors>
    <ignoredError sqref="I26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4"/>
  <sheetViews>
    <sheetView tabSelected="1" topLeftCell="A9" zoomScaleNormal="100" workbookViewId="0">
      <selection activeCell="N24" sqref="J11:N24"/>
    </sheetView>
  </sheetViews>
  <sheetFormatPr baseColWidth="10" defaultRowHeight="15"/>
  <cols>
    <col min="1" max="1" width="2.85546875" style="1" customWidth="1"/>
    <col min="2" max="2" width="19.42578125" style="1" customWidth="1"/>
    <col min="3" max="3" width="16.85546875" style="2" customWidth="1"/>
    <col min="4" max="4" width="16.7109375" style="2" bestFit="1" customWidth="1"/>
    <col min="5" max="5" width="11.42578125" style="2"/>
    <col min="6" max="6" width="11.28515625" style="2" customWidth="1"/>
    <col min="7" max="8" width="11.42578125" style="2"/>
    <col min="9" max="9" width="13.42578125" style="2" bestFit="1" customWidth="1"/>
    <col min="10" max="10" width="11.42578125" style="2" customWidth="1"/>
    <col min="11" max="11" width="14" style="2" customWidth="1"/>
    <col min="12" max="12" width="11.85546875" style="2" bestFit="1" customWidth="1"/>
    <col min="13" max="47" width="11.42578125" style="1"/>
  </cols>
  <sheetData>
    <row r="1" spans="2:47" ht="15.75" thickBot="1">
      <c r="B1" s="160" t="s">
        <v>12</v>
      </c>
      <c r="C1" s="161"/>
      <c r="D1" s="161"/>
      <c r="E1" s="161"/>
      <c r="F1" s="161"/>
      <c r="G1" s="161"/>
      <c r="H1" s="161"/>
      <c r="I1" s="161"/>
      <c r="J1" s="161"/>
      <c r="K1" s="161"/>
      <c r="L1" s="162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95" t="s">
        <v>122</v>
      </c>
      <c r="E3" s="43"/>
      <c r="F3" s="43"/>
      <c r="G3" s="43"/>
      <c r="H3" s="43"/>
      <c r="I3" s="43"/>
      <c r="J3" s="43"/>
      <c r="K3" s="43"/>
      <c r="L3" s="43"/>
    </row>
    <row r="4" spans="2:47">
      <c r="B4" s="93" t="s">
        <v>120</v>
      </c>
      <c r="C4" s="105">
        <v>1</v>
      </c>
      <c r="D4" s="95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93" t="s">
        <v>30</v>
      </c>
      <c r="C5" s="105">
        <v>1</v>
      </c>
      <c r="D5" s="95">
        <f>SUM(C5:C5)</f>
        <v>1</v>
      </c>
    </row>
    <row r="6" spans="2:47">
      <c r="B6" s="93" t="s">
        <v>87</v>
      </c>
      <c r="C6" s="105">
        <v>23.2</v>
      </c>
      <c r="D6" s="95">
        <f>SUM(C6:C6)</f>
        <v>23.2</v>
      </c>
    </row>
    <row r="7" spans="2:47">
      <c r="B7" s="93" t="s">
        <v>72</v>
      </c>
      <c r="C7" s="105"/>
    </row>
    <row r="8" spans="2:47">
      <c r="B8" s="93" t="s">
        <v>121</v>
      </c>
      <c r="C8" s="105">
        <v>8.4000000000000005E-2</v>
      </c>
      <c r="D8" s="95">
        <f>SUM(C8:C8)</f>
        <v>8.4000000000000005E-2</v>
      </c>
    </row>
    <row r="9" spans="2:47" s="1" customFormat="1">
      <c r="B9" s="97"/>
      <c r="C9" s="2"/>
      <c r="D9" s="98"/>
      <c r="E9" s="2"/>
      <c r="F9" s="2"/>
      <c r="G9" s="2"/>
      <c r="H9" s="2"/>
      <c r="I9" s="2"/>
      <c r="J9" s="2"/>
      <c r="K9" s="2"/>
      <c r="L9" s="2"/>
    </row>
    <row r="10" spans="2:47">
      <c r="C10" s="96">
        <v>1</v>
      </c>
    </row>
    <row r="11" spans="2:47" ht="15" customHeight="1">
      <c r="B11" s="87" t="s">
        <v>83</v>
      </c>
      <c r="C11" s="87" t="s">
        <v>125</v>
      </c>
      <c r="D11" s="101" t="s">
        <v>8</v>
      </c>
      <c r="J11" s="1"/>
      <c r="K11" s="1"/>
      <c r="L11" s="1"/>
      <c r="AQ11"/>
      <c r="AR11"/>
      <c r="AS11"/>
      <c r="AT11"/>
      <c r="AU11"/>
    </row>
    <row r="12" spans="2:47" ht="15" hidden="1" customHeight="1">
      <c r="B12" s="5" t="s">
        <v>88</v>
      </c>
      <c r="C12" s="7"/>
      <c r="D12" s="102">
        <f>SUM(C12:C12)</f>
        <v>0</v>
      </c>
      <c r="J12" s="1"/>
      <c r="K12" s="1"/>
      <c r="L12" s="1"/>
      <c r="AQ12"/>
      <c r="AR12"/>
      <c r="AS12"/>
      <c r="AT12"/>
      <c r="AU12"/>
    </row>
    <row r="13" spans="2:47" ht="15" hidden="1" customHeight="1">
      <c r="B13" s="5" t="s">
        <v>87</v>
      </c>
      <c r="C13" s="86"/>
      <c r="D13" s="103">
        <f>SUM(C13:C13)</f>
        <v>0</v>
      </c>
      <c r="J13" s="1"/>
      <c r="K13" s="1"/>
      <c r="L13" s="1"/>
      <c r="AQ13"/>
      <c r="AR13"/>
      <c r="AS13"/>
      <c r="AT13"/>
      <c r="AU13"/>
    </row>
    <row r="14" spans="2:47" ht="15" hidden="1" customHeight="1">
      <c r="B14" s="5" t="s">
        <v>82</v>
      </c>
      <c r="C14" s="85"/>
      <c r="D14" s="104">
        <f>SUM(C14:C14)</f>
        <v>0</v>
      </c>
      <c r="E14" s="1"/>
      <c r="H14" s="1"/>
      <c r="I14" s="1"/>
      <c r="J14" s="1"/>
      <c r="K14" s="1"/>
      <c r="L14" s="1"/>
      <c r="AI14"/>
      <c r="AJ14"/>
      <c r="AK14"/>
      <c r="AL14"/>
      <c r="AM14"/>
      <c r="AN14"/>
      <c r="AO14"/>
      <c r="AP14"/>
      <c r="AQ14"/>
      <c r="AR14"/>
      <c r="AS14"/>
      <c r="AT14"/>
      <c r="AU14"/>
    </row>
    <row r="15" spans="2:47" ht="15" customHeight="1">
      <c r="B15" s="84" t="s">
        <v>0</v>
      </c>
      <c r="C15" s="100">
        <v>12.2</v>
      </c>
      <c r="D15" s="1"/>
      <c r="E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AI15"/>
      <c r="AJ15"/>
      <c r="AK15"/>
      <c r="AL15"/>
      <c r="AM15"/>
      <c r="AN15"/>
      <c r="AO15"/>
      <c r="AP15"/>
      <c r="AQ15"/>
      <c r="AR15"/>
      <c r="AS15"/>
      <c r="AT15"/>
      <c r="AU15"/>
    </row>
    <row r="16" spans="2:47" ht="15" hidden="1" customHeight="1">
      <c r="B16" s="54" t="s">
        <v>69</v>
      </c>
      <c r="C16" s="55"/>
      <c r="D16" s="1"/>
      <c r="E16" s="3"/>
      <c r="G16" s="2" t="str">
        <f>'1'!E11</f>
        <v>NUEVO</v>
      </c>
      <c r="H16" s="3"/>
      <c r="I16" s="3"/>
      <c r="J16" s="77">
        <v>0.4</v>
      </c>
      <c r="K16" s="3"/>
      <c r="L16" s="3"/>
      <c r="M16" s="3"/>
      <c r="N16" s="3"/>
      <c r="O16" s="3"/>
      <c r="P16" s="3"/>
      <c r="Q16" s="3"/>
      <c r="R16" s="3"/>
      <c r="AI16"/>
      <c r="AJ16"/>
      <c r="AK16"/>
      <c r="AL16"/>
      <c r="AM16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99">
        <v>100</v>
      </c>
      <c r="D17" s="102">
        <f>SUM(C17:C17)</f>
        <v>100</v>
      </c>
      <c r="E17" s="1"/>
      <c r="G17" s="1"/>
      <c r="H17" s="1"/>
      <c r="I17" s="1"/>
      <c r="J17" s="1"/>
      <c r="K17" s="1"/>
      <c r="L17" s="1"/>
      <c r="AI17"/>
      <c r="AJ17"/>
      <c r="AK17"/>
      <c r="AL17"/>
      <c r="AM17"/>
      <c r="AN17"/>
      <c r="AO17"/>
      <c r="AP17"/>
      <c r="AQ17"/>
      <c r="AR17"/>
      <c r="AS17"/>
      <c r="AT17"/>
      <c r="AU17"/>
    </row>
    <row r="18" spans="2:48">
      <c r="B18" s="17" t="s">
        <v>2</v>
      </c>
      <c r="C18" s="18">
        <f>C15*C17</f>
        <v>1220</v>
      </c>
      <c r="D18" s="18">
        <f>SUM(C18:C18)</f>
        <v>1220</v>
      </c>
      <c r="E18" s="1"/>
      <c r="J18" s="1"/>
      <c r="K18" s="1"/>
      <c r="L18" s="1"/>
      <c r="AI18"/>
      <c r="AJ18"/>
      <c r="AK18"/>
      <c r="AL18"/>
      <c r="AM18"/>
      <c r="AN18"/>
      <c r="AO18"/>
      <c r="AP18"/>
      <c r="AQ18"/>
      <c r="AR18"/>
      <c r="AS18"/>
      <c r="AT18"/>
      <c r="AU18"/>
    </row>
    <row r="19" spans="2:48" ht="16.5" hidden="1" customHeight="1">
      <c r="B19" s="56" t="s">
        <v>2</v>
      </c>
      <c r="C19" s="57">
        <f>(MAX(C15:C16))*C17</f>
        <v>1220</v>
      </c>
      <c r="D19" s="57">
        <f>SUM(C19:C19)</f>
        <v>1220</v>
      </c>
      <c r="E19" s="1"/>
      <c r="J19" s="1"/>
      <c r="K19" s="1"/>
      <c r="L19" s="1"/>
      <c r="AI19"/>
      <c r="AJ19"/>
      <c r="AK19"/>
      <c r="AL19"/>
      <c r="AM19"/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1"/>
      <c r="L20" s="1"/>
      <c r="AI20"/>
      <c r="AJ20"/>
      <c r="AK20"/>
      <c r="AL20"/>
      <c r="AM20"/>
      <c r="AN20"/>
      <c r="AO20"/>
      <c r="AP20"/>
      <c r="AQ20"/>
      <c r="AR20"/>
      <c r="AS20"/>
      <c r="AT20"/>
      <c r="AU20"/>
    </row>
    <row r="21" spans="2:48">
      <c r="B21" s="28" t="s">
        <v>4</v>
      </c>
      <c r="C21" s="6" t="e">
        <f>$D$21*C20</f>
        <v>#REF!</v>
      </c>
      <c r="D21" s="29" t="e">
        <f>IF(#REF!=0,IF('1'!E11="NUEVO",'2'!#REF!*60%,IF('1'!E11="ANTIGUO",'2'!#REF!*60%,IF('1'!E11="SOCIO",60%*(250*'1'!I11),IF('1'!E11="PILOTO",60%*(250*'1'!I11),IF('2'!#REF!&gt;0,60%*(250*'1'!I11),IF('1'!E11="MANUAL",60%*(IF('1'!#REF!&gt;250,('1'!#REF!*'1'!I11),IF('1'!#REF!&lt;=250,(250*'1'!I11)))))))))),IF(#REF!&lt;=250,(250*'1'!I11)*60%,#REF!*60%))</f>
        <v>#REF!</v>
      </c>
      <c r="E21" s="77"/>
      <c r="F21" s="164"/>
      <c r="G21" s="48"/>
      <c r="H21" s="1"/>
      <c r="I21" s="1"/>
      <c r="J21" s="1"/>
      <c r="K21" s="1"/>
      <c r="L21" s="1"/>
      <c r="AI21"/>
      <c r="AJ21"/>
      <c r="AK21"/>
      <c r="AL21"/>
      <c r="AM21"/>
      <c r="AN21"/>
      <c r="AO21"/>
      <c r="AP21"/>
      <c r="AQ21"/>
      <c r="AR21"/>
      <c r="AS21"/>
      <c r="AT21"/>
      <c r="AU21"/>
    </row>
    <row r="22" spans="2:48">
      <c r="B22" s="17" t="s">
        <v>5</v>
      </c>
      <c r="C22" s="18" t="e">
        <f>C18+C21</f>
        <v>#REF!</v>
      </c>
      <c r="D22" s="18" t="e">
        <f>SUM(C22:C23)</f>
        <v>#REF!</v>
      </c>
      <c r="E22" s="1"/>
      <c r="F22" s="164"/>
      <c r="G22" s="48"/>
      <c r="H22" s="1"/>
      <c r="I22" s="76"/>
      <c r="J22" s="1"/>
      <c r="K22" s="1"/>
      <c r="L22" s="1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</row>
    <row r="23" spans="2:48" ht="14.25" hidden="1" customHeight="1">
      <c r="B23" s="56" t="s">
        <v>70</v>
      </c>
      <c r="C23" s="57" t="e">
        <f>C19+C21</f>
        <v>#REF!</v>
      </c>
      <c r="D23" s="57" t="e">
        <f>SUM(C23:C23)</f>
        <v>#REF!</v>
      </c>
      <c r="E23" s="1"/>
      <c r="G23" s="48"/>
      <c r="H23" s="1"/>
      <c r="I23" s="30"/>
      <c r="J23" s="1"/>
      <c r="K23" s="1"/>
      <c r="L23" s="1"/>
      <c r="AI23"/>
      <c r="AJ23"/>
      <c r="AK23"/>
      <c r="AL23"/>
      <c r="AM23"/>
      <c r="AN23"/>
      <c r="AO23"/>
      <c r="AP23"/>
      <c r="AQ23"/>
      <c r="AR23"/>
      <c r="AS23"/>
      <c r="AT23"/>
      <c r="AU23"/>
    </row>
    <row r="24" spans="2:48" ht="14.25" customHeight="1">
      <c r="B24" s="28" t="s">
        <v>6</v>
      </c>
      <c r="C24" s="6">
        <f>$D$24*C20</f>
        <v>50</v>
      </c>
      <c r="D24" s="29">
        <f>IF(D18&lt;5000,50,100)</f>
        <v>50</v>
      </c>
      <c r="E24" s="1"/>
      <c r="G24" s="48"/>
      <c r="H24" s="1"/>
      <c r="I24" s="1"/>
      <c r="J24" s="1"/>
      <c r="K24" s="1"/>
      <c r="L24" s="1"/>
      <c r="AI24"/>
      <c r="AJ24"/>
      <c r="AK24"/>
      <c r="AL24"/>
      <c r="AM24"/>
      <c r="AN24"/>
      <c r="AO24"/>
      <c r="AP24"/>
      <c r="AQ24"/>
      <c r="AR24"/>
      <c r="AS24"/>
      <c r="AT24"/>
      <c r="AU24"/>
    </row>
    <row r="25" spans="2:48">
      <c r="B25" s="17" t="s">
        <v>7</v>
      </c>
      <c r="C25" s="18" t="e">
        <f t="shared" ref="C25" si="0">C22+C24</f>
        <v>#REF!</v>
      </c>
      <c r="D25" s="18" t="e">
        <f>SUM(C25:C26)</f>
        <v>#REF!</v>
      </c>
      <c r="E25" s="1"/>
      <c r="G25" s="48"/>
      <c r="H25" s="1"/>
      <c r="I25" s="1"/>
      <c r="J25" s="1"/>
      <c r="K25" s="1"/>
      <c r="L25" s="1"/>
      <c r="AN25"/>
      <c r="AO25"/>
      <c r="AP25"/>
      <c r="AQ25"/>
      <c r="AR25"/>
      <c r="AS25"/>
      <c r="AT25"/>
      <c r="AU25"/>
    </row>
    <row r="26" spans="2:48" ht="18.75" hidden="1" customHeight="1">
      <c r="B26" s="56" t="s">
        <v>71</v>
      </c>
      <c r="C26" s="57" t="e">
        <f>C23+C24</f>
        <v>#REF!</v>
      </c>
      <c r="D26" s="57" t="e">
        <f>SUM(C26:C26)</f>
        <v>#REF!</v>
      </c>
      <c r="G26" s="48"/>
    </row>
    <row r="27" spans="2:48">
      <c r="G27" s="48"/>
    </row>
    <row r="28" spans="2:48">
      <c r="B28" s="166" t="s">
        <v>11</v>
      </c>
      <c r="C28" s="166"/>
      <c r="D28" s="166"/>
      <c r="E28" s="166"/>
      <c r="F28" s="166"/>
      <c r="G28" s="166"/>
      <c r="H28" s="166"/>
      <c r="I28" s="166"/>
      <c r="J28" s="166"/>
      <c r="K28" s="166"/>
      <c r="L28" s="166"/>
    </row>
    <row r="30" spans="2:48">
      <c r="C30" s="50"/>
      <c r="M30" s="2"/>
      <c r="AV30" s="1"/>
    </row>
    <row r="31" spans="2:48">
      <c r="B31" s="51" t="s">
        <v>40</v>
      </c>
      <c r="C31" s="52">
        <f>C17*C30</f>
        <v>0</v>
      </c>
      <c r="D31" s="52">
        <f>SUM(C31:C31)</f>
        <v>0</v>
      </c>
      <c r="M31" s="2"/>
      <c r="AV31" s="1"/>
    </row>
    <row r="32" spans="2:48">
      <c r="G32" s="109"/>
    </row>
    <row r="33" spans="1:47">
      <c r="C33" s="11">
        <v>0</v>
      </c>
      <c r="D33" s="9" t="s">
        <v>8</v>
      </c>
      <c r="E33" s="1"/>
      <c r="F33" s="1"/>
      <c r="G33" s="1"/>
      <c r="H33" s="165"/>
      <c r="I33" s="165"/>
      <c r="J33" s="1"/>
      <c r="K33" s="1"/>
      <c r="L33" s="1"/>
      <c r="AN33"/>
      <c r="AO33"/>
      <c r="AP33"/>
      <c r="AQ33"/>
      <c r="AR33"/>
      <c r="AS33"/>
      <c r="AT33"/>
      <c r="AU33"/>
    </row>
    <row r="34" spans="1:47">
      <c r="B34" s="9" t="s">
        <v>9</v>
      </c>
      <c r="C34" s="6" t="e">
        <f>MAX(C25:C26)*C33</f>
        <v>#REF!</v>
      </c>
      <c r="D34" s="10" t="e">
        <f>SUM(C34:C34)</f>
        <v>#REF!</v>
      </c>
      <c r="E34" s="1"/>
      <c r="F34" s="1"/>
      <c r="G34" s="1"/>
      <c r="H34" s="165"/>
      <c r="I34" s="165"/>
      <c r="J34" s="1"/>
      <c r="K34" s="1"/>
      <c r="L34" s="1"/>
      <c r="AN34"/>
      <c r="AO34"/>
      <c r="AP34"/>
      <c r="AQ34"/>
      <c r="AR34"/>
      <c r="AS34"/>
      <c r="AT34"/>
      <c r="AU34"/>
    </row>
    <row r="35" spans="1:47" s="14" customFormat="1">
      <c r="A35" s="12"/>
      <c r="B35" s="16" t="s">
        <v>13</v>
      </c>
      <c r="C35" s="13" t="e">
        <f>((MAX(C25:C26))+C34)*16%</f>
        <v>#REF!</v>
      </c>
      <c r="D35" s="10" t="e">
        <f>SUM(C35:C35)</f>
        <v>#REF!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</row>
    <row r="36" spans="1:47" s="14" customFormat="1">
      <c r="A36" s="12"/>
      <c r="B36" s="16" t="s">
        <v>14</v>
      </c>
      <c r="C36" s="15" t="e">
        <f t="shared" ref="C36" si="1">((MAX(C25:C26))+C34)*2%</f>
        <v>#REF!</v>
      </c>
      <c r="D36" s="10" t="e">
        <f>SUM(C36:C36)</f>
        <v>#REF!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</row>
    <row r="37" spans="1:47" s="14" customFormat="1">
      <c r="A37" s="12"/>
      <c r="B37" s="16" t="s">
        <v>10</v>
      </c>
      <c r="C37" s="15" t="e">
        <f t="shared" ref="C37" si="2">(C25+C34+C35+C36)*3.5%</f>
        <v>#REF!</v>
      </c>
      <c r="D37" s="10" t="e">
        <f>SUM(C37:C37)</f>
        <v>#REF!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</row>
    <row r="38" spans="1:47">
      <c r="B38" s="19" t="s">
        <v>8</v>
      </c>
      <c r="C38" s="20" t="e">
        <f t="shared" ref="C38" si="3">SUM(C34:C37)</f>
        <v>#REF!</v>
      </c>
      <c r="D38" s="18" t="e">
        <f>SUM(C38:C38)</f>
        <v>#REF!</v>
      </c>
      <c r="E38" s="1"/>
      <c r="F38" s="1"/>
      <c r="G38" s="1"/>
      <c r="H38" s="1"/>
      <c r="I38" s="1"/>
      <c r="J38" s="1"/>
      <c r="K38" s="1"/>
      <c r="L38" s="1"/>
      <c r="AN38"/>
      <c r="AO38"/>
      <c r="AP38"/>
      <c r="AQ38"/>
      <c r="AR38"/>
      <c r="AS38"/>
      <c r="AT38"/>
      <c r="AU38"/>
    </row>
    <row r="39" spans="1:47">
      <c r="J39" s="1"/>
      <c r="K39" s="3"/>
      <c r="L39" s="1"/>
      <c r="AS39"/>
      <c r="AT39"/>
      <c r="AU39"/>
    </row>
    <row r="40" spans="1:47">
      <c r="O40" s="24" t="s">
        <v>21</v>
      </c>
      <c r="P40" s="24">
        <v>3.7</v>
      </c>
    </row>
    <row r="42" spans="1:47">
      <c r="B42" s="163" t="s">
        <v>16</v>
      </c>
      <c r="C42" s="163"/>
      <c r="D42" s="163"/>
      <c r="E42" s="163"/>
      <c r="F42" s="163"/>
      <c r="G42" s="163"/>
      <c r="H42" s="163"/>
      <c r="I42" s="163"/>
      <c r="J42" s="163"/>
      <c r="K42" s="163"/>
      <c r="L42" s="163"/>
    </row>
    <row r="44" spans="1:47">
      <c r="C44" s="21">
        <f>+C20</f>
        <v>1</v>
      </c>
      <c r="D44" s="7" t="s">
        <v>8</v>
      </c>
      <c r="E44" s="1"/>
      <c r="F44" s="1"/>
      <c r="G44" s="1"/>
      <c r="H44" s="1"/>
      <c r="I44" s="1"/>
      <c r="J44" s="1"/>
      <c r="K44" s="1"/>
      <c r="L44" s="1"/>
      <c r="AN44"/>
      <c r="AO44"/>
      <c r="AP44"/>
      <c r="AQ44"/>
      <c r="AR44"/>
      <c r="AS44"/>
      <c r="AT44"/>
      <c r="AU44"/>
    </row>
    <row r="45" spans="1:47">
      <c r="B45" s="28" t="s">
        <v>15</v>
      </c>
      <c r="C45" s="23" t="e">
        <f>$D$45*C44</f>
        <v>#REF!</v>
      </c>
      <c r="D45" s="29" t="e">
        <f>IF(#REF!=0,IF('1'!E11="NUEVO",'2'!#REF!*40%,IF('1'!E11="ANTIGUO",'2'!#REF!*40%,IF('1'!E11="SOCIO",40%*(250*'1'!I11),IF('1'!E11="PILOTO",40%*(250*'1'!I11),IF('2'!#REF!&gt;0,40%*(250*'1'!I11),IF('1'!E11="MANUAL",40%*(IF('1'!#REF!&gt;250,('1'!#REF!*'1'!I11),IF('1'!#REF!&lt;=250,(250*'1'!I11)))))))))),IF(#REF!&lt;=250,(250*'1'!I11)*40%,#REF!*40%))</f>
        <v>#REF!</v>
      </c>
      <c r="E45" s="77"/>
      <c r="F45" s="1"/>
      <c r="G45" s="1"/>
      <c r="H45" s="1"/>
      <c r="I45" s="1"/>
      <c r="J45" s="1"/>
      <c r="K45" s="1"/>
      <c r="L45" s="1"/>
      <c r="AN45"/>
      <c r="AO45"/>
      <c r="AP45"/>
      <c r="AQ45"/>
      <c r="AR45"/>
      <c r="AS45"/>
      <c r="AT45"/>
      <c r="AU45"/>
    </row>
    <row r="46" spans="1:47" s="1" customFormat="1">
      <c r="C46" s="4"/>
      <c r="D46" s="4"/>
      <c r="E46" s="4"/>
      <c r="F46" s="4"/>
      <c r="G46" s="4"/>
    </row>
    <row r="48" spans="1:47">
      <c r="B48" s="88" t="s">
        <v>17</v>
      </c>
      <c r="C48" s="88"/>
      <c r="D48" s="88"/>
      <c r="E48" s="88"/>
      <c r="F48" s="88"/>
      <c r="G48" s="88"/>
      <c r="H48" s="88"/>
      <c r="I48" s="88"/>
      <c r="J48" s="88"/>
      <c r="K48" s="88"/>
      <c r="L48" s="88"/>
    </row>
    <row r="50" spans="2:47">
      <c r="B50" s="27" t="s">
        <v>15</v>
      </c>
      <c r="C50" s="7" t="str">
        <f t="shared" ref="C50" si="4">C11</f>
        <v>BASE DE LAMPARA LED</v>
      </c>
      <c r="E50" s="1"/>
      <c r="F50" s="1"/>
      <c r="G50" s="1"/>
      <c r="H50" s="1"/>
      <c r="I50" s="1"/>
      <c r="J50" s="1"/>
      <c r="K50" s="1"/>
      <c r="L50" s="1"/>
      <c r="AN50"/>
      <c r="AO50"/>
      <c r="AP50"/>
      <c r="AQ50"/>
      <c r="AR50"/>
      <c r="AS50"/>
      <c r="AT50"/>
      <c r="AU50"/>
    </row>
    <row r="51" spans="2:47">
      <c r="B51" s="28" t="s">
        <v>19</v>
      </c>
      <c r="C51" s="23" t="e">
        <f>C18+C38+C31+'2'!C20*('1'!$J$31)</f>
        <v>#REF!</v>
      </c>
      <c r="D51" s="23" t="e">
        <f>SUM(C51:C51)</f>
        <v>#REF!</v>
      </c>
      <c r="E51" s="1"/>
      <c r="F51" s="1"/>
      <c r="G51" s="1"/>
      <c r="H51" s="1"/>
      <c r="I51" s="1"/>
      <c r="J51" s="1"/>
      <c r="K51" s="1"/>
      <c r="L51" s="1"/>
      <c r="AN51"/>
      <c r="AO51"/>
      <c r="AP51"/>
      <c r="AQ51"/>
      <c r="AR51"/>
      <c r="AS51"/>
      <c r="AT51"/>
      <c r="AU51"/>
    </row>
    <row r="52" spans="2:47">
      <c r="B52" s="5" t="s">
        <v>1</v>
      </c>
      <c r="C52" s="25">
        <f>+C17</f>
        <v>100</v>
      </c>
      <c r="E52" s="1"/>
      <c r="F52" s="1"/>
      <c r="G52" s="1"/>
      <c r="H52" s="1"/>
      <c r="I52" s="1"/>
      <c r="J52" s="1"/>
      <c r="K52" s="1"/>
      <c r="L52" s="1"/>
      <c r="AN52"/>
      <c r="AO52"/>
      <c r="AP52"/>
      <c r="AQ52"/>
      <c r="AR52"/>
      <c r="AS52"/>
      <c r="AT52"/>
      <c r="AU52"/>
    </row>
    <row r="53" spans="2:47">
      <c r="B53" s="22" t="s">
        <v>18</v>
      </c>
      <c r="C53" s="23" t="e">
        <f t="shared" ref="C53" si="5">C51/C52</f>
        <v>#REF!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5" t="s">
        <v>20</v>
      </c>
      <c r="C54" s="26" t="e">
        <f>C53*$P$40</f>
        <v>#REF!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</sheetData>
  <mergeCells count="5">
    <mergeCell ref="B1:L1"/>
    <mergeCell ref="B42:L42"/>
    <mergeCell ref="F21:F22"/>
    <mergeCell ref="H33:I34"/>
    <mergeCell ref="B28:L28"/>
  </mergeCells>
  <phoneticPr fontId="17" type="noConversion"/>
  <pageMargins left="0.7" right="0.7" top="0.75" bottom="0.75" header="0.3" footer="0.3"/>
  <pageSetup orientation="portrait" r:id="rId1"/>
  <cellWatches>
    <cellWatch r="D38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u202412824 (Torres Cuya, Francis Cristofer)</cp:lastModifiedBy>
  <cp:lastPrinted>2025-10-13T20:11:36Z</cp:lastPrinted>
  <dcterms:created xsi:type="dcterms:W3CDTF">2022-02-19T20:43:21Z</dcterms:created>
  <dcterms:modified xsi:type="dcterms:W3CDTF">2026-02-02T16:12:25Z</dcterms:modified>
</cp:coreProperties>
</file>