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CC9606CE-98A0-4EB4-833B-D95D925F4C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D14" i="1" l="1"/>
  <c r="C19" i="1"/>
  <c r="C18" i="1"/>
  <c r="D18" i="1" s="1"/>
  <c r="C31" i="1"/>
  <c r="E9" i="2"/>
  <c r="D17" i="1"/>
  <c r="D13" i="1"/>
  <c r="D12" i="1"/>
  <c r="D31" i="1" l="1"/>
  <c r="D24" i="1" l="1"/>
  <c r="G16" i="1" l="1"/>
  <c r="I23" i="2" l="1"/>
  <c r="I20" i="2"/>
  <c r="C52" i="1"/>
  <c r="E38" i="2" s="1"/>
  <c r="C50" i="1"/>
  <c r="J23" i="2" l="1"/>
  <c r="D19" i="1"/>
  <c r="C20" i="1" l="1"/>
  <c r="C44" i="1" l="1"/>
  <c r="C24" i="1"/>
  <c r="J14" i="2" l="1"/>
  <c r="O44" i="2" s="1"/>
  <c r="D21" i="1" l="1"/>
  <c r="J15" i="2" s="1"/>
  <c r="J16" i="2" s="1"/>
  <c r="D45" i="1"/>
  <c r="J30" i="2" s="1"/>
  <c r="O47" i="2" s="1"/>
  <c r="C21" i="1" l="1"/>
  <c r="C22" i="1" s="1"/>
  <c r="C45" i="1"/>
  <c r="C23" i="1" l="1"/>
  <c r="C25" i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 s="1"/>
  <c r="J27" i="2"/>
  <c r="J33" i="2" s="1"/>
  <c r="O50" i="2" s="1"/>
  <c r="C51" i="1" l="1"/>
  <c r="C53" i="1" s="1"/>
  <c r="J34" i="2"/>
  <c r="D51" i="1"/>
  <c r="C54" i="1" l="1"/>
  <c r="I38" i="2" l="1"/>
</calcChain>
</file>

<file path=xl/sharedStrings.xml><?xml version="1.0" encoding="utf-8"?>
<sst xmlns="http://schemas.openxmlformats.org/spreadsheetml/2006/main" count="168" uniqueCount="131">
  <si>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</si>
  <si>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</si>
  <si>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</si>
  <si>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</si>
  <si>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</si>
  <si>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</si>
  <si>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</si>
  <si>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</si>
  <si>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</si>
  <si>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</si>
  <si>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</si>
  <si>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</si>
  <si>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</si>
  <si>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</si>
  <si>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</si>
  <si>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</si>
  <si>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</si>
  <si>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</si>
  <si>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</si>
  <si>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</si>
  <si>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</si>
  <si>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</si>
  <si>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</si>
  <si>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</si>
  <si>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</si>
  <si>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</si>
  <si>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</si>
  <si>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</si>
  <si>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</si>
  <si>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</si>
  <si>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</si>
  <si>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</si>
  <si>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</si>
  <si>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</si>
  <si>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</si>
  <si>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</si>
  <si>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</si>
  <si>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</si>
  <si>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</si>
  <si>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</si>
  <si>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</si>
  <si>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</si>
  <si>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</si>
  <si>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</si>
  <si>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</si>
  <si>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</si>
  <si>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</si>
  <si>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</si>
  <si>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</si>
  <si>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</si>
  <si>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</si>
  <si>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</si>
  <si>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</si>
  <si>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</si>
  <si>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</si>
  <si>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</si>
  <si>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</si>
  <si>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</si>
  <si>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</si>
  <si>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</si>
  <si>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</si>
  <si>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</si>
  <si>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</si>
  <si>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</si>
  <si>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</si>
  <si>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</si>
  <si>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</si>
  <si>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</si>
  <si>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</si>
  <si>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</si>
  <si>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</si>
  <si>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</si>
  <si>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</si>
  <si>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</si>
  <si>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</si>
  <si>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</si>
  <si>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</si>
  <si>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</si>
  <si>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</si>
  <si>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</si>
  <si>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</si>
  <si>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</si>
  <si>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</si>
  <si>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</si>
  <si>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</si>
  <si>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</si>
  <si>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</si>
  <si>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</si>
  <si>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</si>
  <si>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</si>
  <si>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</si>
  <si>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</si>
  <si>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</si>
  <si>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</si>
  <si>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 xml:space="preserve">CARGOS EXTRAS (QTY PROVEEDORES O QTY ITEMS) 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</si>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</sst>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u/>
      <sz val="11"/>
      <color theme="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1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0" fillId="6" borderId="0" xfId="0" applyFill="1"/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/>
    <xf numFmtId="168" fontId="30" fillId="2" borderId="0" xfId="0" applyNumberFormat="1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0" fontId="32" fillId="2" borderId="0" xfId="0" applyFont="1" applyFill="1"/>
    <xf numFmtId="165" fontId="31" fillId="2" borderId="7" xfId="0" applyNumberFormat="1" applyFont="1" applyFill="1" applyBorder="1"/>
    <xf numFmtId="0" fontId="33" fillId="2" borderId="0" xfId="0" applyFont="1" applyFill="1" applyAlignment="1">
      <alignment horizontal="right"/>
    </xf>
    <xf numFmtId="2" fontId="31" fillId="2" borderId="0" xfId="0" applyNumberFormat="1" applyFont="1" applyFill="1" applyAlignment="1">
      <alignment horizontal="left"/>
    </xf>
    <xf numFmtId="0" fontId="36" fillId="2" borderId="0" xfId="0" applyFont="1" applyFill="1" applyAlignment="1">
      <alignment horizontal="center"/>
    </xf>
    <xf numFmtId="0" fontId="37" fillId="2" borderId="0" xfId="0" applyFont="1" applyFill="1"/>
    <xf numFmtId="0" fontId="8" fillId="2" borderId="10" xfId="0" applyFont="1" applyFill="1" applyBorder="1"/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0" xfId="0" applyFont="1" applyFill="1" applyAlignment="1">
      <alignment horizontal="left"/>
    </xf>
    <xf numFmtId="0" fontId="19" fillId="5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  <xf numFmtId="0" fontId="35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  <xf numFmtId="0" fontId="39" fillId="2" borderId="0" xfId="0" applyFont="1" applyFill="1"/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56</xdr:row>
      <xdr:rowOff>45463</xdr:rowOff>
    </xdr:from>
    <xdr:to>
      <xdr:col>8</xdr:col>
      <xdr:colOff>329269</xdr:colOff>
      <xdr:row>88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280511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09"/>
  <sheetViews>
    <sheetView showGridLines="0" tabSelected="1" zoomScale="85" zoomScaleNormal="85" zoomScaleSheetLayoutView="80" workbookViewId="0">
      <selection activeCell="E11" sqref="E11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4.332031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4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11" ht="18.75" customHeight="1"/>
    <row r="2" spans="1:11" ht="18.75" customHeight="1"/>
    <row r="3" spans="1:11">
      <c r="C3" s="137" t="s">
        <v>96</v>
      </c>
      <c r="D3" s="137"/>
      <c r="E3" s="137"/>
      <c r="F3" s="137"/>
      <c r="G3" s="137"/>
    </row>
    <row r="4" spans="1:11">
      <c r="C4" s="137"/>
      <c r="D4" s="137"/>
      <c r="E4" s="137"/>
      <c r="F4" s="137"/>
      <c r="G4" s="137"/>
    </row>
    <row r="5" spans="1:11" ht="25.8">
      <c r="C5" s="138" t="s">
        <v>97</v>
      </c>
      <c r="D5" s="138"/>
      <c r="E5" s="138"/>
      <c r="F5" s="138"/>
      <c r="G5" s="138"/>
    </row>
    <row r="7" spans="1:11">
      <c r="D7" s="153" t="s">
        <v>83</v>
      </c>
      <c r="E7" s="153"/>
      <c r="F7" s="153"/>
    </row>
    <row r="8" spans="1:11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55">
        <f>+'2'!D5</f>
        <v>1</v>
      </c>
      <c r="J8" s="155"/>
      <c r="K8" s="155"/>
    </row>
    <row r="9" spans="1:11">
      <c r="A9" s="33" t="s">
        <v>82</v>
      </c>
      <c r="B9" s="47"/>
      <c r="D9" s="67" t="s">
        <v>75</v>
      </c>
      <c r="E9" s="139">
        <f ca="1">+TODAY()</f>
        <v>46120</v>
      </c>
      <c r="F9" s="140"/>
      <c r="G9" s="31"/>
      <c r="H9" s="1" t="s">
        <v>29</v>
      </c>
      <c r="I9" s="121">
        <f>+'2'!D6</f>
        <v>23.2</v>
      </c>
      <c r="J9" s="121"/>
      <c r="K9" s="121"/>
    </row>
    <row r="10" spans="1:11">
      <c r="A10" s="33" t="s">
        <v>81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1">
      <c r="A11" s="33" t="s">
        <v>23</v>
      </c>
      <c r="B11" s="53"/>
      <c r="D11" s="68" t="s">
        <v>22</v>
      </c>
      <c r="E11" s="38"/>
      <c r="F11" s="69"/>
      <c r="H11" s="1" t="s">
        <v>28</v>
      </c>
      <c r="I11" s="154">
        <f>+'2'!D8</f>
        <v>8.4000000000000005E-2</v>
      </c>
      <c r="J11" s="154"/>
      <c r="K11" s="154"/>
    </row>
    <row r="13" spans="1:11">
      <c r="A13" s="132" t="s">
        <v>31</v>
      </c>
      <c r="B13" s="132"/>
      <c r="C13" s="132"/>
      <c r="D13" s="132"/>
      <c r="E13" s="132"/>
      <c r="F13" s="58"/>
      <c r="G13" s="58"/>
      <c r="H13" s="60"/>
      <c r="I13" s="60"/>
      <c r="J13" s="36" t="s">
        <v>34</v>
      </c>
      <c r="K13" s="36" t="s">
        <v>33</v>
      </c>
    </row>
    <row r="14" spans="1:11">
      <c r="A14" s="124" t="s">
        <v>36</v>
      </c>
      <c r="B14" s="124"/>
      <c r="C14" s="124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1">
      <c r="A15" s="123" t="s">
        <v>32</v>
      </c>
      <c r="B15" s="123"/>
      <c r="C15" s="123"/>
      <c r="D15" s="38"/>
      <c r="E15" s="38"/>
      <c r="F15" s="38"/>
      <c r="G15" s="38"/>
      <c r="H15" s="38"/>
      <c r="I15" s="38"/>
      <c r="J15" s="46" t="e">
        <f>IF(I11&lt;1,'2'!D21+'2'!D24,60%*(#REF!*I11)+'2'!D24)</f>
        <v>#REF!</v>
      </c>
      <c r="K15" s="39" t="s">
        <v>35</v>
      </c>
    </row>
    <row r="16" spans="1:11">
      <c r="A16" s="33" t="s">
        <v>7</v>
      </c>
      <c r="B16" s="31"/>
      <c r="C16" s="31"/>
      <c r="D16" s="31"/>
      <c r="E16" s="31"/>
      <c r="F16" s="163"/>
      <c r="G16" s="31"/>
      <c r="H16" s="31"/>
      <c r="I16" s="31"/>
      <c r="J16" s="45" t="e">
        <f>SUM(J14:J15)</f>
        <v>#REF!</v>
      </c>
      <c r="K16" s="34" t="s">
        <v>35</v>
      </c>
    </row>
    <row r="17" spans="1:12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</row>
    <row r="18" spans="1:12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2">
      <c r="A19" s="132" t="s">
        <v>73</v>
      </c>
      <c r="B19" s="132"/>
      <c r="C19" s="132"/>
      <c r="D19" s="132"/>
      <c r="E19" s="132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2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MAX('2'!C33:C33)</f>
        <v>0</v>
      </c>
      <c r="J20" s="45" t="e">
        <f>'2'!D34</f>
        <v>#REF!</v>
      </c>
      <c r="K20" s="34" t="s">
        <v>35</v>
      </c>
    </row>
    <row r="21" spans="1:12">
      <c r="A21" s="31" t="s">
        <v>38</v>
      </c>
      <c r="B21" s="31"/>
      <c r="C21" s="31"/>
      <c r="D21" s="31"/>
      <c r="E21" s="31"/>
      <c r="F21" s="31"/>
      <c r="G21" s="31"/>
      <c r="H21" s="31"/>
      <c r="I21" s="61">
        <v>0.16</v>
      </c>
      <c r="J21" s="45" t="e">
        <f>'2'!D35</f>
        <v>#REF!</v>
      </c>
      <c r="K21" s="34" t="s">
        <v>35</v>
      </c>
    </row>
    <row r="22" spans="1:12">
      <c r="A22" s="31" t="s">
        <v>39</v>
      </c>
      <c r="B22" s="31"/>
      <c r="C22" s="31"/>
      <c r="D22" s="31"/>
      <c r="E22" s="31"/>
      <c r="F22" s="31"/>
      <c r="G22" s="31"/>
      <c r="H22" s="31"/>
      <c r="I22" s="61">
        <v>0.02</v>
      </c>
      <c r="J22" s="45" t="e">
        <f>'2'!D36</f>
        <v>#REF!</v>
      </c>
      <c r="K22" s="34" t="s">
        <v>35</v>
      </c>
    </row>
    <row r="23" spans="1:12">
      <c r="A23" s="38" t="s">
        <v>40</v>
      </c>
      <c r="B23" s="38"/>
      <c r="C23" s="38"/>
      <c r="D23" s="38"/>
      <c r="E23" s="38"/>
      <c r="F23" s="38"/>
      <c r="G23" s="38"/>
      <c r="H23" s="38"/>
      <c r="I23" s="75">
        <f>MAX('2'!C30:C30)</f>
        <v>0</v>
      </c>
      <c r="J23" s="46">
        <f>'2'!D31</f>
        <v>0</v>
      </c>
      <c r="K23" s="39" t="s">
        <v>35</v>
      </c>
    </row>
    <row r="24" spans="1:12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 t="e">
        <f>SUM(J20:J23)</f>
        <v>#REF!</v>
      </c>
      <c r="K24" s="34" t="s">
        <v>35</v>
      </c>
    </row>
    <row r="25" spans="1:12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2">
      <c r="A26" s="38" t="s">
        <v>41</v>
      </c>
      <c r="B26" s="38"/>
      <c r="C26" s="38"/>
      <c r="D26" s="38"/>
      <c r="E26" s="38"/>
      <c r="F26" s="38"/>
      <c r="G26" s="38"/>
      <c r="H26" s="38"/>
      <c r="I26" s="62" t="s">
        <v>57</v>
      </c>
      <c r="J26" s="46" t="e">
        <f>'2'!D37</f>
        <v>#REF!</v>
      </c>
      <c r="K26" s="39" t="s">
        <v>35</v>
      </c>
    </row>
    <row r="27" spans="1:12">
      <c r="A27" s="33" t="s">
        <v>8</v>
      </c>
      <c r="B27" s="31"/>
      <c r="C27" s="31"/>
      <c r="D27" s="31"/>
      <c r="E27" s="31"/>
      <c r="F27" s="31"/>
      <c r="G27" s="31"/>
      <c r="H27" s="31"/>
      <c r="J27" s="45" t="e">
        <f>J24+J26</f>
        <v>#REF!</v>
      </c>
      <c r="K27" s="34" t="s">
        <v>35</v>
      </c>
    </row>
    <row r="29" spans="1:12" ht="15.6">
      <c r="A29" s="131" t="s">
        <v>70</v>
      </c>
      <c r="B29" s="131"/>
      <c r="C29" s="131"/>
      <c r="D29" s="131"/>
      <c r="E29" s="131"/>
      <c r="F29" s="78"/>
      <c r="G29" s="78"/>
      <c r="H29" s="79"/>
      <c r="I29" s="79"/>
      <c r="J29" s="79" t="s">
        <v>34</v>
      </c>
      <c r="K29" s="79" t="s">
        <v>33</v>
      </c>
    </row>
    <row r="30" spans="1:12">
      <c r="A30" s="31" t="s">
        <v>72</v>
      </c>
      <c r="B30" s="31"/>
      <c r="C30" s="31"/>
      <c r="D30" s="31"/>
      <c r="E30" s="31"/>
      <c r="F30" s="31"/>
      <c r="G30" s="31"/>
      <c r="H30" s="45"/>
      <c r="I30" s="45"/>
      <c r="J30" s="45" t="e">
        <f>+'2'!D45+'2'!D21</f>
        <v>#REF!</v>
      </c>
      <c r="K30" s="34" t="s">
        <v>35</v>
      </c>
    </row>
    <row r="31" spans="1:12">
      <c r="A31" s="31" t="s">
        <v>94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</row>
    <row r="32" spans="1:12">
      <c r="A32" s="104" t="s">
        <v>95</v>
      </c>
      <c r="B32" s="31"/>
      <c r="C32" s="31"/>
      <c r="D32" s="31"/>
      <c r="E32" s="31"/>
      <c r="F32" s="31"/>
      <c r="G32" s="31"/>
      <c r="H32" s="45"/>
      <c r="I32" s="45"/>
      <c r="J32" s="105">
        <v>100</v>
      </c>
      <c r="K32" s="34" t="s">
        <v>35</v>
      </c>
      <c r="L32" s="92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 t="e">
        <f>J27</f>
        <v>#REF!</v>
      </c>
      <c r="K33" s="39" t="s">
        <v>35</v>
      </c>
      <c r="N33" s="2"/>
    </row>
    <row r="34" spans="1:19">
      <c r="A34" s="33" t="s">
        <v>71</v>
      </c>
      <c r="B34" s="31"/>
      <c r="C34" s="31"/>
      <c r="D34" s="31"/>
      <c r="E34" s="31"/>
      <c r="F34" s="31"/>
      <c r="G34" s="31"/>
      <c r="H34" s="45"/>
      <c r="I34" s="45"/>
      <c r="J34" s="45" t="e">
        <f>(J30+J31+J33)-J32</f>
        <v>#REF!</v>
      </c>
      <c r="K34" s="34" t="s">
        <v>35</v>
      </c>
      <c r="M34" s="143" t="s">
        <v>88</v>
      </c>
      <c r="N34" s="143"/>
      <c r="O34" s="143"/>
      <c r="P34" s="143"/>
      <c r="Q34" s="143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44"/>
      <c r="N35" s="144"/>
      <c r="O35" s="144"/>
      <c r="P35" s="144"/>
      <c r="Q35" s="144"/>
    </row>
    <row r="36" spans="1:19" ht="15" customHeight="1">
      <c r="A36" s="127" t="s">
        <v>74</v>
      </c>
      <c r="B36" s="128"/>
      <c r="C36" s="128"/>
      <c r="D36" s="128"/>
      <c r="E36" s="128"/>
      <c r="F36" s="128"/>
      <c r="G36" s="128"/>
      <c r="H36" s="128"/>
      <c r="I36" s="128"/>
      <c r="J36" s="128"/>
      <c r="K36" s="129"/>
      <c r="M36" s="151" t="s">
        <v>46</v>
      </c>
      <c r="N36" s="149" t="s">
        <v>60</v>
      </c>
      <c r="O36" s="145" t="s">
        <v>84</v>
      </c>
      <c r="P36" s="147" t="s">
        <v>85</v>
      </c>
      <c r="Q36" s="141" t="s">
        <v>86</v>
      </c>
    </row>
    <row r="37" spans="1:19" ht="17.25" customHeight="1">
      <c r="A37" s="59" t="s">
        <v>46</v>
      </c>
      <c r="B37" s="125" t="s">
        <v>60</v>
      </c>
      <c r="C37" s="130"/>
      <c r="D37" s="126"/>
      <c r="E37" s="7" t="s">
        <v>1</v>
      </c>
      <c r="F37" s="125" t="s">
        <v>61</v>
      </c>
      <c r="G37" s="126"/>
      <c r="H37" s="5" t="s">
        <v>58</v>
      </c>
      <c r="I37" s="70" t="s">
        <v>8</v>
      </c>
      <c r="J37" s="133" t="s">
        <v>59</v>
      </c>
      <c r="K37" s="133"/>
      <c r="M37" s="152"/>
      <c r="N37" s="150"/>
      <c r="O37" s="146"/>
      <c r="P37" s="148"/>
      <c r="Q37" s="142"/>
    </row>
    <row r="38" spans="1:19" s="109" customFormat="1" ht="15.6">
      <c r="A38" s="106" t="s">
        <v>8</v>
      </c>
      <c r="B38" s="107"/>
      <c r="C38" s="107"/>
      <c r="D38" s="107"/>
      <c r="E38" s="108" t="e">
        <f>+SUM(#REF!)</f>
        <v>#REF!</v>
      </c>
      <c r="F38" s="107"/>
      <c r="G38" s="107"/>
      <c r="I38" s="110" t="e">
        <f>+SUM(#REF!)</f>
        <v>#REF!</v>
      </c>
      <c r="J38" s="111"/>
      <c r="K38" s="112"/>
      <c r="L38" s="107"/>
    </row>
    <row r="39" spans="1:19" ht="15.75" customHeight="1">
      <c r="A39" s="63"/>
      <c r="B39" s="2"/>
      <c r="C39" s="2"/>
      <c r="D39" s="2"/>
      <c r="E39" s="43"/>
      <c r="F39" s="2"/>
      <c r="G39" s="2"/>
      <c r="I39" s="83"/>
      <c r="J39" s="71"/>
      <c r="K39" s="72"/>
      <c r="M39" s="117" t="s">
        <v>87</v>
      </c>
      <c r="N39" s="117"/>
      <c r="O39" s="117"/>
      <c r="P39" s="117"/>
      <c r="Q39" s="117"/>
      <c r="R39" s="117"/>
      <c r="S39" s="117"/>
    </row>
    <row r="40" spans="1:19" ht="18.75" customHeight="1">
      <c r="A40" s="81" t="s">
        <v>48</v>
      </c>
      <c r="B40" s="31"/>
      <c r="C40" s="31"/>
      <c r="D40" s="31"/>
      <c r="E40" s="31"/>
      <c r="F40" s="31"/>
      <c r="G40" s="31"/>
      <c r="H40" s="31"/>
      <c r="I40" s="31"/>
      <c r="J40" s="31"/>
      <c r="M40" s="117"/>
      <c r="N40" s="117"/>
      <c r="O40" s="117"/>
      <c r="P40" s="117"/>
      <c r="Q40" s="117"/>
      <c r="R40" s="117"/>
      <c r="S40" s="117"/>
    </row>
    <row r="41" spans="1:19" ht="18">
      <c r="A41" s="82" t="s">
        <v>65</v>
      </c>
      <c r="B41" s="31"/>
      <c r="C41" s="31"/>
      <c r="D41" s="31"/>
      <c r="E41" s="31"/>
      <c r="F41" s="31"/>
      <c r="G41" s="31"/>
      <c r="H41" s="31"/>
      <c r="I41" s="31"/>
      <c r="J41" s="31"/>
    </row>
    <row r="42" spans="1:19" ht="18">
      <c r="A42" s="82" t="s">
        <v>66</v>
      </c>
      <c r="B42" s="31"/>
      <c r="C42" s="31"/>
      <c r="D42" s="31"/>
      <c r="E42" s="31"/>
      <c r="F42" s="31"/>
      <c r="G42" s="31"/>
      <c r="H42" s="31"/>
      <c r="I42" s="31"/>
      <c r="J42" s="31"/>
      <c r="M42" s="113" t="s">
        <v>98</v>
      </c>
      <c r="O42" s="113" t="s">
        <v>34</v>
      </c>
      <c r="R42" s="113" t="s">
        <v>99</v>
      </c>
    </row>
    <row r="43" spans="1:19" ht="18">
      <c r="A43" s="82" t="s">
        <v>77</v>
      </c>
      <c r="B43" s="31"/>
      <c r="C43" s="31"/>
      <c r="D43" s="31"/>
      <c r="E43" s="31"/>
      <c r="F43" s="31"/>
      <c r="G43" s="31"/>
      <c r="H43" s="31"/>
      <c r="I43" s="31"/>
      <c r="J43" s="31"/>
      <c r="N43" s="114"/>
      <c r="O43" s="114"/>
      <c r="P43" s="114"/>
    </row>
    <row r="44" spans="1:19" ht="18.75" customHeight="1">
      <c r="A44" s="82" t="s">
        <v>67</v>
      </c>
      <c r="B44" s="31"/>
      <c r="C44" s="31"/>
      <c r="D44" s="31"/>
      <c r="E44" s="31"/>
      <c r="F44" s="31"/>
      <c r="G44" s="31"/>
      <c r="H44" s="31"/>
      <c r="I44" s="31"/>
      <c r="J44" s="31"/>
      <c r="M44" s="118" t="s">
        <v>100</v>
      </c>
      <c r="N44" s="31"/>
      <c r="O44" s="116">
        <f>J14</f>
        <v>1220</v>
      </c>
      <c r="P44" s="31"/>
      <c r="Q44" s="119" t="s">
        <v>101</v>
      </c>
      <c r="R44" s="119"/>
      <c r="S44" s="119"/>
    </row>
    <row r="45" spans="1:19" ht="18.75" customHeight="1">
      <c r="A45" s="82" t="s">
        <v>78</v>
      </c>
      <c r="B45" s="31"/>
      <c r="C45" s="31"/>
      <c r="D45" s="31"/>
      <c r="E45" s="31"/>
      <c r="F45" s="31"/>
      <c r="G45" s="31"/>
      <c r="H45" s="31"/>
      <c r="I45" s="31"/>
      <c r="J45" s="31"/>
      <c r="M45" s="118"/>
      <c r="N45" s="115"/>
      <c r="O45" s="116"/>
      <c r="P45" s="31"/>
      <c r="Q45" s="119"/>
      <c r="R45" s="119"/>
      <c r="S45" s="119"/>
    </row>
    <row r="46" spans="1:19" ht="18.75" customHeight="1">
      <c r="A46" s="82" t="s">
        <v>79</v>
      </c>
      <c r="B46" s="31"/>
      <c r="C46" s="31"/>
      <c r="D46" s="31"/>
      <c r="E46" s="31"/>
      <c r="F46" s="31"/>
      <c r="G46" s="31"/>
      <c r="H46" s="31"/>
      <c r="I46" s="31"/>
      <c r="J46" s="31"/>
      <c r="N46" s="31"/>
      <c r="O46" s="31"/>
      <c r="P46" s="31"/>
      <c r="Q46" s="2"/>
      <c r="R46" s="2"/>
      <c r="S46" s="2"/>
    </row>
    <row r="47" spans="1:19" ht="18">
      <c r="A47" s="82" t="s">
        <v>80</v>
      </c>
      <c r="B47" s="31"/>
      <c r="C47" s="31"/>
      <c r="D47" s="31"/>
      <c r="E47" s="31"/>
      <c r="F47" s="31"/>
      <c r="G47" s="31"/>
      <c r="H47" s="31"/>
      <c r="I47" s="31"/>
      <c r="J47" s="31"/>
      <c r="M47" s="118" t="s">
        <v>102</v>
      </c>
      <c r="N47" s="31"/>
      <c r="O47" s="116" t="e">
        <f>J30+J31-J32</f>
        <v>#REF!</v>
      </c>
      <c r="P47" s="31"/>
      <c r="Q47" s="119" t="s">
        <v>103</v>
      </c>
      <c r="R47" s="119"/>
      <c r="S47" s="119"/>
    </row>
    <row r="48" spans="1:19" ht="18">
      <c r="A48" s="82" t="s">
        <v>76</v>
      </c>
      <c r="B48" s="31"/>
      <c r="C48" s="31"/>
      <c r="D48" s="31"/>
      <c r="E48" s="31"/>
      <c r="F48" s="31"/>
      <c r="G48" s="31"/>
      <c r="H48" s="31"/>
      <c r="I48" s="31"/>
      <c r="J48" s="31"/>
      <c r="M48" s="118"/>
      <c r="N48" s="115"/>
      <c r="O48" s="120"/>
      <c r="P48" s="31"/>
      <c r="Q48" s="119"/>
      <c r="R48" s="119"/>
      <c r="S48" s="119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N49" s="31"/>
      <c r="O49" s="31"/>
      <c r="P49" s="31"/>
      <c r="Q49" s="2"/>
      <c r="R49" s="2"/>
      <c r="S49" s="2"/>
    </row>
    <row r="50" spans="1:19">
      <c r="M50" s="134" t="s">
        <v>104</v>
      </c>
      <c r="O50" s="135" t="e">
        <f>J33</f>
        <v>#REF!</v>
      </c>
      <c r="Q50" s="119" t="s">
        <v>105</v>
      </c>
      <c r="R50" s="119"/>
      <c r="S50" s="119"/>
    </row>
    <row r="51" spans="1:19" ht="18">
      <c r="H51" s="32"/>
      <c r="I51" s="32"/>
      <c r="J51" s="32"/>
      <c r="K51" s="31"/>
      <c r="M51" s="134"/>
      <c r="O51" s="136"/>
      <c r="Q51" s="119"/>
      <c r="R51" s="119"/>
      <c r="S51" s="119"/>
    </row>
    <row r="52" spans="1:19" ht="18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22" t="s">
        <v>45</v>
      </c>
      <c r="B56" s="122"/>
      <c r="C56" s="122"/>
      <c r="D56" s="122"/>
      <c r="E56" s="122"/>
      <c r="F56" s="122"/>
      <c r="G56" s="122"/>
      <c r="H56" s="122"/>
      <c r="I56" s="122"/>
      <c r="J56" s="122"/>
      <c r="K56" s="122"/>
    </row>
    <row r="59" spans="1:19">
      <c r="A59" s="1" t="s">
        <v>115</v>
      </c>
    </row>
    <row r="60" spans="1:19">
      <c r="A60" s="49" t="s">
        <v>106</v>
      </c>
      <c r="B60" s="31"/>
      <c r="C60" s="31"/>
      <c r="D60" s="31"/>
    </row>
    <row r="61" spans="1:19">
      <c r="A61" s="49" t="s">
        <v>107</v>
      </c>
      <c r="B61" s="31"/>
      <c r="C61" s="31"/>
      <c r="D61" s="31"/>
    </row>
    <row r="62" spans="1:19">
      <c r="A62" s="31" t="s">
        <v>49</v>
      </c>
      <c r="C62" s="31"/>
      <c r="D62" s="31"/>
    </row>
    <row r="63" spans="1:19">
      <c r="A63" s="49" t="s">
        <v>108</v>
      </c>
      <c r="B63" s="31"/>
      <c r="C63" s="31"/>
      <c r="D63" s="31"/>
    </row>
    <row r="64" spans="1:19">
      <c r="A64" s="49" t="s">
        <v>109</v>
      </c>
      <c r="B64" s="31"/>
      <c r="C64" s="31"/>
      <c r="D64" s="31"/>
    </row>
    <row r="65" spans="1:10">
      <c r="A65" s="31" t="s">
        <v>50</v>
      </c>
      <c r="C65" s="31"/>
      <c r="D65" s="31"/>
    </row>
    <row r="66" spans="1:10">
      <c r="A66" s="49" t="s">
        <v>110</v>
      </c>
      <c r="B66" s="31"/>
      <c r="C66" s="31"/>
      <c r="D66" s="31"/>
    </row>
    <row r="67" spans="1:10">
      <c r="A67" s="49" t="s">
        <v>111</v>
      </c>
      <c r="B67" s="31"/>
      <c r="C67" s="31"/>
      <c r="D67" s="31"/>
    </row>
    <row r="68" spans="1:10">
      <c r="A68" s="49" t="s">
        <v>112</v>
      </c>
      <c r="B68" s="31"/>
      <c r="C68" s="31"/>
      <c r="D68" s="31"/>
    </row>
    <row r="69" spans="1:10">
      <c r="A69" s="49" t="s">
        <v>51</v>
      </c>
      <c r="B69" s="31"/>
      <c r="C69" s="31"/>
      <c r="D69" s="31"/>
    </row>
    <row r="70" spans="1:10">
      <c r="A70" s="49" t="s">
        <v>116</v>
      </c>
      <c r="B70" s="31"/>
      <c r="C70" s="31"/>
      <c r="D70" s="31"/>
    </row>
    <row r="71" spans="1:10">
      <c r="A71" s="49" t="s">
        <v>52</v>
      </c>
      <c r="B71" s="31"/>
      <c r="C71" s="31"/>
      <c r="D71" s="31"/>
    </row>
    <row r="72" spans="1:10">
      <c r="A72" s="49" t="s">
        <v>113</v>
      </c>
      <c r="B72" s="31"/>
      <c r="C72" s="31"/>
      <c r="D72" s="31"/>
    </row>
    <row r="73" spans="1:10">
      <c r="A73" s="49" t="s">
        <v>114</v>
      </c>
      <c r="B73" s="31"/>
      <c r="C73" s="31"/>
      <c r="D73" s="31"/>
    </row>
    <row r="77" spans="1:10">
      <c r="A77" s="49" t="s">
        <v>117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90" t="s">
        <v>118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49" t="s">
        <v>119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89" t="s">
        <v>89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49" t="s">
        <v>120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47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49" t="s">
        <v>121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49" t="s">
        <v>122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49" t="s">
        <v>123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49" t="s">
        <v>124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49" t="s">
        <v>125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49" t="s">
        <v>126</v>
      </c>
      <c r="B91" s="31"/>
      <c r="C91" s="31"/>
      <c r="D91" s="31"/>
    </row>
    <row r="92" spans="1:10">
      <c r="A92" s="49" t="s">
        <v>127</v>
      </c>
      <c r="B92" s="31"/>
      <c r="C92" s="31"/>
      <c r="D92" s="31"/>
    </row>
    <row r="93" spans="1:10">
      <c r="A93" s="41" t="s">
        <v>128</v>
      </c>
      <c r="B93" s="31"/>
      <c r="C93" s="31"/>
      <c r="D93" s="31"/>
    </row>
    <row r="94" spans="1:10">
      <c r="A94" s="41" t="s">
        <v>129</v>
      </c>
    </row>
    <row r="95" spans="1:10">
      <c r="A95" s="41" t="s">
        <v>130</v>
      </c>
    </row>
    <row r="100" spans="2:10">
      <c r="B100" s="41"/>
    </row>
    <row r="101" spans="2:10" ht="15.6">
      <c r="B101" s="42"/>
    </row>
    <row r="102" spans="2:10" ht="15.6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6">
      <c r="B109" s="44"/>
    </row>
  </sheetData>
  <sheetProtection selectLockedCells="1"/>
  <mergeCells count="33">
    <mergeCell ref="M50:M51"/>
    <mergeCell ref="O50:O51"/>
    <mergeCell ref="Q50:S51"/>
    <mergeCell ref="C3:G4"/>
    <mergeCell ref="C5:G5"/>
    <mergeCell ref="E9:F9"/>
    <mergeCell ref="Q36:Q37"/>
    <mergeCell ref="M34:Q35"/>
    <mergeCell ref="O36:O37"/>
    <mergeCell ref="P36:P37"/>
    <mergeCell ref="N36:N37"/>
    <mergeCell ref="M36:M37"/>
    <mergeCell ref="D7:F7"/>
    <mergeCell ref="I11:K11"/>
    <mergeCell ref="A13:E13"/>
    <mergeCell ref="I8:K8"/>
    <mergeCell ref="I9:K9"/>
    <mergeCell ref="A56:K56"/>
    <mergeCell ref="A15:C15"/>
    <mergeCell ref="A14:C14"/>
    <mergeCell ref="F37:G37"/>
    <mergeCell ref="A36:K36"/>
    <mergeCell ref="B37:D37"/>
    <mergeCell ref="A29:E29"/>
    <mergeCell ref="A19:E19"/>
    <mergeCell ref="J37:K37"/>
    <mergeCell ref="O44:O45"/>
    <mergeCell ref="M39:S40"/>
    <mergeCell ref="M44:M45"/>
    <mergeCell ref="Q44:S45"/>
    <mergeCell ref="M47:M48"/>
    <mergeCell ref="O47:O48"/>
    <mergeCell ref="Q47:S48"/>
  </mergeCells>
  <dataValidations count="1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topLeftCell="A15" zoomScaleNormal="100" workbookViewId="0">
      <selection activeCell="N24" sqref="J11:N24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6.8867187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156" t="s">
        <v>12</v>
      </c>
      <c r="C1" s="157"/>
      <c r="D1" s="157"/>
      <c r="E1" s="157"/>
      <c r="F1" s="157"/>
      <c r="G1" s="157"/>
      <c r="H1" s="157"/>
      <c r="I1" s="157"/>
      <c r="J1" s="157"/>
      <c r="K1" s="157"/>
      <c r="L1" s="158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3" t="s">
        <v>92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90</v>
      </c>
      <c r="C4" s="103">
        <v>1</v>
      </c>
      <c r="D4" s="93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3">
        <v>1</v>
      </c>
      <c r="D5" s="93">
        <f>SUM(C5:C5)</f>
        <v>1</v>
      </c>
    </row>
    <row r="6" spans="2:47">
      <c r="B6" s="91" t="s">
        <v>68</v>
      </c>
      <c r="C6" s="103">
        <v>23.2</v>
      </c>
      <c r="D6" s="93">
        <f>SUM(C6:C6)</f>
        <v>23.2</v>
      </c>
    </row>
    <row r="7" spans="2:47">
      <c r="B7" s="91" t="s">
        <v>56</v>
      </c>
      <c r="C7" s="103"/>
    </row>
    <row r="8" spans="2:47">
      <c r="B8" s="91" t="s">
        <v>91</v>
      </c>
      <c r="C8" s="103">
        <v>8.4000000000000005E-2</v>
      </c>
      <c r="D8" s="93">
        <f>SUM(C8:C8)</f>
        <v>8.4000000000000005E-2</v>
      </c>
    </row>
    <row r="9" spans="2:47" s="1" customFormat="1">
      <c r="B9" s="95"/>
      <c r="C9" s="2"/>
      <c r="D9" s="96"/>
      <c r="E9" s="2"/>
      <c r="F9" s="2"/>
      <c r="G9" s="2"/>
      <c r="H9" s="2"/>
      <c r="I9" s="2"/>
      <c r="J9" s="2"/>
      <c r="K9" s="2"/>
      <c r="L9" s="2"/>
    </row>
    <row r="10" spans="2:47">
      <c r="C10" s="94">
        <v>1</v>
      </c>
    </row>
    <row r="11" spans="2:47" ht="15" customHeight="1">
      <c r="B11" s="87" t="s">
        <v>64</v>
      </c>
      <c r="C11" s="87" t="s">
        <v>93</v>
      </c>
      <c r="D11" s="99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69</v>
      </c>
      <c r="C12" s="7"/>
      <c r="D12" s="100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68</v>
      </c>
      <c r="C13" s="86"/>
      <c r="D13" s="101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63</v>
      </c>
      <c r="C14" s="85"/>
      <c r="D14" s="102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8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>
        <f>'1'!E11</f>
        <v>0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7">
        <v>100</v>
      </c>
      <c r="D17" s="100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 t="e">
        <f>$D$21*C20</f>
        <v>#REF!</v>
      </c>
      <c r="D21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1" s="77"/>
      <c r="F21" s="160"/>
      <c r="G21" s="48"/>
      <c r="H21" s="1"/>
      <c r="I21" s="1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 t="e">
        <f>C18+C21</f>
        <v>#REF!</v>
      </c>
      <c r="D22" s="18" t="e">
        <f>SUM(C22:C23)</f>
        <v>#REF!</v>
      </c>
      <c r="E22" s="1"/>
      <c r="F22" s="160"/>
      <c r="G22" s="48"/>
      <c r="H22" s="1"/>
      <c r="I22" s="76"/>
      <c r="J22" s="1"/>
      <c r="K22" s="1"/>
      <c r="L22" s="1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6" t="s">
        <v>54</v>
      </c>
      <c r="C23" s="57" t="e">
        <f>C19+C21</f>
        <v>#REF!</v>
      </c>
      <c r="D23" s="57" t="e">
        <f>SUM(C23:C23)</f>
        <v>#REF!</v>
      </c>
      <c r="E23" s="1"/>
      <c r="G23" s="48"/>
      <c r="H23" s="1"/>
      <c r="I23" s="30"/>
      <c r="J23" s="1"/>
      <c r="K23" s="1"/>
      <c r="L23" s="1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8"/>
      <c r="H24" s="1"/>
      <c r="I24" s="1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 t="e">
        <f t="shared" ref="C25" si="0">C22+C24</f>
        <v>#REF!</v>
      </c>
      <c r="D25" s="18" t="e">
        <f>SUM(C25:C26)</f>
        <v>#REF!</v>
      </c>
      <c r="E25" s="1"/>
      <c r="G25" s="48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6" t="s">
        <v>55</v>
      </c>
      <c r="C26" s="57" t="e">
        <f>C23+C24</f>
        <v>#REF!</v>
      </c>
      <c r="D26" s="57" t="e">
        <f>SUM(C26:C26)</f>
        <v>#REF!</v>
      </c>
      <c r="G26" s="48"/>
    </row>
    <row r="27" spans="2:48">
      <c r="G27" s="48"/>
    </row>
    <row r="28" spans="2:48">
      <c r="B28" s="162" t="s">
        <v>11</v>
      </c>
      <c r="C28" s="162"/>
      <c r="D28" s="162"/>
      <c r="E28" s="162"/>
      <c r="F28" s="162"/>
      <c r="G28" s="162"/>
      <c r="H28" s="162"/>
      <c r="I28" s="162"/>
      <c r="J28" s="162"/>
      <c r="K28" s="162"/>
      <c r="L28" s="162"/>
    </row>
    <row r="30" spans="2:48">
      <c r="C30" s="50"/>
      <c r="M30" s="2"/>
      <c r="AV30" s="1"/>
    </row>
    <row r="31" spans="2:48">
      <c r="B31" s="51" t="s">
        <v>40</v>
      </c>
      <c r="C31" s="52">
        <f>C17*C30</f>
        <v>0</v>
      </c>
      <c r="D31" s="52">
        <f>SUM(C31:C31)</f>
        <v>0</v>
      </c>
      <c r="M31" s="2"/>
      <c r="AV31" s="1"/>
    </row>
    <row r="32" spans="2:48">
      <c r="G32" s="107"/>
    </row>
    <row r="33" spans="1:47">
      <c r="C33" s="11">
        <v>0</v>
      </c>
      <c r="D33" s="9" t="s">
        <v>8</v>
      </c>
      <c r="E33" s="1"/>
      <c r="F33" s="1"/>
      <c r="G33" s="1"/>
      <c r="H33" s="161"/>
      <c r="I33" s="161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 t="e">
        <f>MAX(C25:C26)*C33</f>
        <v>#REF!</v>
      </c>
      <c r="D34" s="10" t="e">
        <f>SUM(C34:C34)</f>
        <v>#REF!</v>
      </c>
      <c r="E34" s="1"/>
      <c r="F34" s="1"/>
      <c r="G34" s="1"/>
      <c r="H34" s="161"/>
      <c r="I34" s="161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 t="e">
        <f>((MAX(C25:C26))+C34)*16%</f>
        <v>#REF!</v>
      </c>
      <c r="D35" s="10" t="e">
        <f>SUM(C35:C35)</f>
        <v>#REF!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 t="e">
        <f t="shared" ref="C36" si="1">((MAX(C25:C26))+C34)*2%</f>
        <v>#REF!</v>
      </c>
      <c r="D36" s="10" t="e">
        <f>SUM(C36:C36)</f>
        <v>#REF!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 t="e">
        <f t="shared" ref="C37" si="2">(C25+C34+C35+C36)*3.5%</f>
        <v>#REF!</v>
      </c>
      <c r="D37" s="10" t="e">
        <f>SUM(C37:C37)</f>
        <v>#REF!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 t="e">
        <f t="shared" ref="C38" si="3">SUM(C34:C37)</f>
        <v>#REF!</v>
      </c>
      <c r="D38" s="18" t="e">
        <f>SUM(C38:C38)</f>
        <v>#REF!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59" t="s">
        <v>16</v>
      </c>
      <c r="C42" s="159"/>
      <c r="D42" s="159"/>
      <c r="E42" s="159"/>
      <c r="F42" s="159"/>
      <c r="G42" s="159"/>
      <c r="H42" s="159"/>
      <c r="I42" s="159"/>
      <c r="J42" s="159"/>
      <c r="K42" s="159"/>
      <c r="L42" s="159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 t="e">
        <f>$D$45*C44</f>
        <v>#REF!</v>
      </c>
      <c r="D45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5" s="77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88" t="s">
        <v>17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</row>
    <row r="50" spans="2:47">
      <c r="B50" s="27" t="s">
        <v>15</v>
      </c>
      <c r="C50" s="7" t="str">
        <f t="shared" ref="C50" si="4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 t="e">
        <f>C18+C38+C31+'2'!C20*('1'!$J$31)</f>
        <v>#REF!</v>
      </c>
      <c r="D51" s="23" t="e">
        <f>SUM(C51:C51)</f>
        <v>#REF!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 t="e">
        <f t="shared" ref="C53" si="5">C51/C52</f>
        <v>#REF!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 t="e">
        <f>C53*$P$40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7" type="noConversion"/>
  <pageMargins left="0.7" right="0.7" top="0.75" bottom="0.75" header="0.3" footer="0.3"/>
  <pageSetup orientation="portrait" r:id="rId1"/>
  <cellWatches>
    <cellWatch r="D38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2026-04-08T22:10:25Z</dcterms:modified>
</cp:coreProperties>
</file>