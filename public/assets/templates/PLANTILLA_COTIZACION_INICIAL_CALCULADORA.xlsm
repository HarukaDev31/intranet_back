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esktop\"/>
    </mc:Choice>
  </mc:AlternateContent>
  <xr:revisionPtr revIDLastSave="0" documentId="13_ncr:1_{9F03E418-FD6F-4A6A-BB93-6C468556D64D}" xr6:coauthVersionLast="47" xr6:coauthVersionMax="47" xr10:uidLastSave="{00000000-0000-0000-0000-000000000000}"/>
  <bookViews>
    <workbookView xWindow="28680" yWindow="735" windowWidth="20730" windowHeight="11040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/>
  <c r="K18" i="1"/>
  <c r="L18" i="1"/>
  <c r="M18" i="1"/>
  <c r="I19" i="1"/>
  <c r="J19" i="1"/>
  <c r="K19" i="1"/>
  <c r="L19" i="1"/>
  <c r="M19" i="1"/>
  <c r="I31" i="1"/>
  <c r="J31" i="1"/>
  <c r="K31" i="1"/>
  <c r="L31" i="1"/>
  <c r="M31" i="1"/>
  <c r="I50" i="1"/>
  <c r="J50" i="1"/>
  <c r="K50" i="1"/>
  <c r="L50" i="1"/>
  <c r="M50" i="1"/>
  <c r="I52" i="1"/>
  <c r="J52" i="1"/>
  <c r="K52" i="1"/>
  <c r="L52" i="1"/>
  <c r="M52" i="1"/>
  <c r="N4" i="1" l="1"/>
  <c r="N8" i="1"/>
  <c r="I11" i="2" s="1"/>
  <c r="N5" i="1"/>
  <c r="I8" i="2" s="1"/>
  <c r="N6" i="1"/>
  <c r="I9" i="2" s="1"/>
  <c r="S11" i="2" l="1" a="1"/>
  <c r="S11" i="2" s="1"/>
  <c r="V22" i="1"/>
  <c r="F18" i="1"/>
  <c r="G18" i="1"/>
  <c r="H18" i="1"/>
  <c r="F19" i="1"/>
  <c r="G19" i="1"/>
  <c r="H19" i="1"/>
  <c r="F31" i="1"/>
  <c r="G31" i="1"/>
  <c r="H31" i="1"/>
  <c r="F50" i="1"/>
  <c r="G50" i="1"/>
  <c r="H50" i="1"/>
  <c r="F52" i="1"/>
  <c r="G52" i="1"/>
  <c r="H52" i="1"/>
  <c r="N14" i="1"/>
  <c r="D19" i="1"/>
  <c r="D18" i="1"/>
  <c r="C19" i="1"/>
  <c r="C18" i="1"/>
  <c r="N18" i="1" s="1"/>
  <c r="C31" i="1"/>
  <c r="E18" i="1"/>
  <c r="E19" i="1"/>
  <c r="E31" i="1"/>
  <c r="E50" i="1"/>
  <c r="E52" i="1"/>
  <c r="E9" i="2"/>
  <c r="F38" i="2"/>
  <c r="O38" i="2" s="1"/>
  <c r="B38" i="2"/>
  <c r="N38" i="2" s="1"/>
  <c r="D31" i="1"/>
  <c r="D50" i="1"/>
  <c r="D52" i="1"/>
  <c r="N17" i="1"/>
  <c r="N13" i="1"/>
  <c r="N12" i="1"/>
  <c r="N31" i="1" l="1"/>
  <c r="S13" i="2"/>
  <c r="T13" i="2" s="1"/>
  <c r="S10" i="2" a="1"/>
  <c r="S10" i="2" s="1"/>
  <c r="T10" i="2" s="1"/>
  <c r="S14" i="2"/>
  <c r="K20" i="1" l="1"/>
  <c r="K44" i="1" s="1"/>
  <c r="L20" i="1"/>
  <c r="L44" i="1" s="1"/>
  <c r="I20" i="1"/>
  <c r="I44" i="1" s="1"/>
  <c r="M20" i="1"/>
  <c r="M44" i="1" s="1"/>
  <c r="J20" i="1"/>
  <c r="J44" i="1" s="1"/>
  <c r="N24" i="1"/>
  <c r="S16" i="2"/>
  <c r="K24" i="1" l="1"/>
  <c r="L24" i="1"/>
  <c r="I24" i="1"/>
  <c r="M24" i="1"/>
  <c r="J24" i="1"/>
  <c r="U18" i="1"/>
  <c r="U19" i="1"/>
  <c r="U20" i="1"/>
  <c r="U21" i="1"/>
  <c r="U22" i="1"/>
  <c r="U17" i="1"/>
  <c r="Q16" i="1"/>
  <c r="W17" i="1"/>
  <c r="T11" i="2"/>
  <c r="W18" i="1" s="1"/>
  <c r="T16" i="2" l="1"/>
  <c r="T14" i="2"/>
  <c r="W21" i="1" s="1"/>
  <c r="V20" i="1"/>
  <c r="V21" i="1"/>
  <c r="X21" i="1" s="1"/>
  <c r="V18" i="1"/>
  <c r="V17" i="1"/>
  <c r="I23" i="2"/>
  <c r="I20" i="2"/>
  <c r="C52" i="1"/>
  <c r="E38" i="2" s="1"/>
  <c r="E39" i="2" s="1"/>
  <c r="C50" i="1"/>
  <c r="G20" i="1" l="1"/>
  <c r="G44" i="1" s="1"/>
  <c r="H20" i="1"/>
  <c r="H44" i="1" s="1"/>
  <c r="F20" i="1"/>
  <c r="F44" i="1" s="1"/>
  <c r="E20" i="1"/>
  <c r="E44" i="1" s="1"/>
  <c r="W20" i="1"/>
  <c r="X17" i="1"/>
  <c r="X18" i="1"/>
  <c r="X20" i="1"/>
  <c r="J23" i="2"/>
  <c r="N19" i="1"/>
  <c r="D20" i="1" l="1"/>
  <c r="C20" i="1"/>
  <c r="N21" i="2" l="1"/>
  <c r="O42" i="2"/>
  <c r="C44" i="1"/>
  <c r="J15" i="2"/>
  <c r="F24" i="1"/>
  <c r="G24" i="1"/>
  <c r="H24" i="1"/>
  <c r="E24" i="1"/>
  <c r="D44" i="1"/>
  <c r="D24" i="1"/>
  <c r="C24" i="1"/>
  <c r="J14" i="2" l="1"/>
  <c r="J16" i="2" l="1"/>
  <c r="P22" i="2"/>
  <c r="S12" i="2" s="1"/>
  <c r="T12" i="2" s="1"/>
  <c r="W19" i="1" l="1"/>
  <c r="V19" i="1"/>
  <c r="N21" i="1" l="1"/>
  <c r="X19" i="1"/>
  <c r="N45" i="1"/>
  <c r="J30" i="2" s="1"/>
  <c r="F21" i="1"/>
  <c r="H21" i="1"/>
  <c r="G21" i="1"/>
  <c r="L21" i="1"/>
  <c r="D21" i="1"/>
  <c r="M21" i="1"/>
  <c r="K21" i="1"/>
  <c r="I21" i="1"/>
  <c r="C21" i="1"/>
  <c r="J21" i="1"/>
  <c r="E21" i="1"/>
  <c r="H45" i="1" l="1"/>
  <c r="E45" i="1"/>
  <c r="I45" i="1"/>
  <c r="L45" i="1"/>
  <c r="K45" i="1"/>
  <c r="G45" i="1"/>
  <c r="F45" i="1"/>
  <c r="C45" i="1"/>
  <c r="D45" i="1"/>
  <c r="M45" i="1"/>
  <c r="J45" i="1"/>
  <c r="E22" i="1"/>
  <c r="E25" i="1" s="1"/>
  <c r="E23" i="1"/>
  <c r="E26" i="1" s="1"/>
  <c r="I23" i="1"/>
  <c r="I26" i="1" s="1"/>
  <c r="I22" i="1"/>
  <c r="I25" i="1" s="1"/>
  <c r="L22" i="1"/>
  <c r="L25" i="1" s="1"/>
  <c r="L23" i="1"/>
  <c r="L26" i="1" s="1"/>
  <c r="N24" i="2"/>
  <c r="M29" i="2"/>
  <c r="J22" i="1"/>
  <c r="J25" i="1" s="1"/>
  <c r="J23" i="1"/>
  <c r="J26" i="1" s="1"/>
  <c r="C22" i="1"/>
  <c r="C23" i="1"/>
  <c r="K23" i="1"/>
  <c r="K26" i="1" s="1"/>
  <c r="K22" i="1"/>
  <c r="K25" i="1" s="1"/>
  <c r="M22" i="1"/>
  <c r="M25" i="1" s="1"/>
  <c r="M23" i="1"/>
  <c r="M26" i="1" s="1"/>
  <c r="D22" i="1"/>
  <c r="D25" i="1" s="1"/>
  <c r="D23" i="1"/>
  <c r="D26" i="1" s="1"/>
  <c r="G23" i="1"/>
  <c r="G26" i="1" s="1"/>
  <c r="G22" i="1"/>
  <c r="G25" i="1" s="1"/>
  <c r="H23" i="1"/>
  <c r="H26" i="1" s="1"/>
  <c r="H22" i="1"/>
  <c r="H25" i="1" s="1"/>
  <c r="F23" i="1"/>
  <c r="F26" i="1" s="1"/>
  <c r="F22" i="1"/>
  <c r="F25" i="1" s="1"/>
  <c r="J34" i="1" l="1"/>
  <c r="J36" i="1" s="1"/>
  <c r="L34" i="1"/>
  <c r="L35" i="1" s="1"/>
  <c r="C25" i="1"/>
  <c r="N22" i="1"/>
  <c r="H34" i="1"/>
  <c r="H36" i="1" s="1"/>
  <c r="G34" i="1"/>
  <c r="G35" i="1" s="1"/>
  <c r="D34" i="1"/>
  <c r="D35" i="1" s="1"/>
  <c r="D36" i="1"/>
  <c r="M34" i="1"/>
  <c r="M36" i="1" s="1"/>
  <c r="I34" i="1"/>
  <c r="I35" i="1" s="1"/>
  <c r="K34" i="1"/>
  <c r="K36" i="1" s="1"/>
  <c r="F34" i="1"/>
  <c r="C26" i="1"/>
  <c r="N26" i="1" s="1"/>
  <c r="N23" i="1"/>
  <c r="E34" i="1"/>
  <c r="E35" i="1" s="1"/>
  <c r="E36" i="1" l="1"/>
  <c r="K35" i="1"/>
  <c r="L36" i="1"/>
  <c r="L37" i="1" s="1"/>
  <c r="L38" i="1" s="1"/>
  <c r="L51" i="1" s="1"/>
  <c r="L53" i="1" s="1"/>
  <c r="M35" i="1"/>
  <c r="M37" i="1"/>
  <c r="D37" i="1"/>
  <c r="E37" i="1"/>
  <c r="K37" i="1"/>
  <c r="K38" i="1" s="1"/>
  <c r="K51" i="1" s="1"/>
  <c r="K53" i="1" s="1"/>
  <c r="N25" i="1"/>
  <c r="C34" i="1"/>
  <c r="D38" i="1"/>
  <c r="D51" i="1" s="1"/>
  <c r="D53" i="1" s="1"/>
  <c r="E38" i="1"/>
  <c r="E51" i="1" s="1"/>
  <c r="E53" i="1" s="1"/>
  <c r="F35" i="1"/>
  <c r="J35" i="1"/>
  <c r="G36" i="1"/>
  <c r="I36" i="1"/>
  <c r="I37" i="1" s="1"/>
  <c r="F36" i="1"/>
  <c r="M38" i="1"/>
  <c r="M51" i="1" s="1"/>
  <c r="M53" i="1" s="1"/>
  <c r="H35" i="1"/>
  <c r="H37" i="1" s="1"/>
  <c r="F37" i="1" l="1"/>
  <c r="J37" i="1"/>
  <c r="J38" i="1" s="1"/>
  <c r="J51" i="1" s="1"/>
  <c r="J53" i="1" s="1"/>
  <c r="G37" i="1"/>
  <c r="G38" i="1" s="1"/>
  <c r="G51" i="1" s="1"/>
  <c r="G53" i="1" s="1"/>
  <c r="L54" i="1"/>
  <c r="M54" i="1"/>
  <c r="D54" i="1"/>
  <c r="I38" i="1"/>
  <c r="I51" i="1" s="1"/>
  <c r="I53" i="1" s="1"/>
  <c r="E54" i="1"/>
  <c r="F38" i="1"/>
  <c r="F51" i="1" s="1"/>
  <c r="F53" i="1" s="1"/>
  <c r="N34" i="1"/>
  <c r="J20" i="2" s="1"/>
  <c r="K54" i="1"/>
  <c r="C36" i="1"/>
  <c r="N36" i="1" s="1"/>
  <c r="J22" i="2" s="1"/>
  <c r="H38" i="1"/>
  <c r="H51" i="1" s="1"/>
  <c r="H53" i="1" s="1"/>
  <c r="C35" i="1"/>
  <c r="N35" i="1" s="1"/>
  <c r="J21" i="2" s="1"/>
  <c r="G54" i="1" l="1"/>
  <c r="J54" i="1"/>
  <c r="I54" i="1"/>
  <c r="H54" i="1"/>
  <c r="J24" i="2"/>
  <c r="F54" i="1"/>
  <c r="C37" i="1"/>
  <c r="N37" i="1" s="1"/>
  <c r="J26" i="2" s="1"/>
  <c r="C38" i="1" l="1"/>
  <c r="N38" i="1"/>
  <c r="C51" i="1"/>
  <c r="J27" i="2"/>
  <c r="J33" i="2" s="1"/>
  <c r="O43" i="2" l="1"/>
  <c r="O45" i="2" s="1"/>
  <c r="J34" i="2"/>
  <c r="C53" i="1"/>
  <c r="N51" i="1"/>
  <c r="C54" i="1" l="1"/>
  <c r="H38" i="2"/>
  <c r="I38" i="2" l="1"/>
  <c r="I39" i="2" s="1"/>
  <c r="P38" i="2"/>
  <c r="Q38" i="2" s="1"/>
  <c r="J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N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<sst xmlns="http://schemas.openxmlformats.org/spreadsheetml/2006/main" count="207" uniqueCount="157">
  <si>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</si>
  <si>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</si>
  <si>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</si>
  <si>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</si>
  <si>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</si>
  <si>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</si>
  <si>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</si>
  <si>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</si>
  <si>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</si>
  <si>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</si>
  <si>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</si>
  <si>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</si>
  <si>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</si>
  <si>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</si>
  <si>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</si>
  <si>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</si>
  <si>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</si>
  <si>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</si>
  <si>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</si>
  <si>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</si>
  <si>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</si>
  <si>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</si>
  <si>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</si>
  <si>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</si>
  <si>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</si>
  <si>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</si>
  <si>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</si>
  <si>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</si>
  <si>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</si>
  <si>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</si>
  <si>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</si>
  <si>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</si>
  <si>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</si>
  <si>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</si>
  <si>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</si>
  <si>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</si>
  <si>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</si>
  <si>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</si>
  <si>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</si>
  <si>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</si>
  <si>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</si>
  <si>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</si>
  <si>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</si>
  <si>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</si>
  <si>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</si>
  <si>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</si>
  <si>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</si>
  <si>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</si>
  <si>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</si>
  <si>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</si>
  <si>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</si>
  <si>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</si>
  <si>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</si>
  <si>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</si>
  <si>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</si>
  <si>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</si>
  <si>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</si>
  <si>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</si>
  <si>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</si>
  <si>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</si>
  <si>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</si>
  <si>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</si>
  <si>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</si>
  <si>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</si>
  <si>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</si>
  <si>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</si>
  <si>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</si>
  <si>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</si>
  <si>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</si>
  <si>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</si>
  <si>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</si>
  <si>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</si>
  <si>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</si>
  <si>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</si>
  <si>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</si>
  <si>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</si>
  <si>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</si>
  <si>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</si>
  <si>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</si>
  <si>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</si>
  <si>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</si>
  <si>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</si>
  <si>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</si>
  <si>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</si>
  <si>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</si>
  <si>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</si>
  <si>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</si>
  <si>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</si>
  <si>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</si>
  <si>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</si>
  <si>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</si>
  <si>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</si>
  <si>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</si>
  <si>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</si>
  <si>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</si>
  <si>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</si>
  <si>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</si>
  <si>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</si>
  <si>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</si>
  <si>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</si>
  <si>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</si>
  <si>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</si>
  <si>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</si>
  <si>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</si>
  <si>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</si>
  <si>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</si>
  <si>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</si>
  <si>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</si>
  <si>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</si>
  <si>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</si>
  <si>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</si>
  <si>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</si>
  <si>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</si>
  <si>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</si>
  <si>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</si>
  <si>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</si>
  <si>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</si>
  <si>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</si>
  <si>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</si>
  <si>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</si>
  <si>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</si>
  <si>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</si>
  <si>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</si>
  <si>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</si>
  <si>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</si>
  <si>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</si>
  <si>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</si>
  <si>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</si>
  <si>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</si>
  <si>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</si>
  <si>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</si>
  <si>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</si>
  <si>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</si>
  <si>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</si>
  <si>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</si>
  <si>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</si>
  <si>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</si>
  <si>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TARIFA PRELIMINAR</t>
  </si>
  <si>
    <t>CBM PRELIMINAR</t>
  </si>
  <si>
    <t>TOTAL TARIFA MANUAL</t>
  </si>
  <si>
    <t>Servicio de Consolidado antes de la Fecha de Corte 23/01</t>
  </si>
  <si>
    <t>Pago de Impuestos antes del Arribo 10/03</t>
  </si>
  <si>
    <t>BASE DE LAMPARA LED</t>
  </si>
  <si>
    <t>DISFRAZ LED</t>
  </si>
  <si>
    <t>DISFRAZ ALIEN</t>
  </si>
  <si>
    <t>DISFRAZ DINOSAURIO-1</t>
  </si>
  <si>
    <t>DISFRAZ DINOSAURIO-2</t>
  </si>
  <si>
    <t>DISFRAZ VACA</t>
  </si>
  <si>
    <t>DISFRAZ DINOSAURIO-3</t>
  </si>
  <si>
    <t>DISFRAZ TIBURON</t>
  </si>
  <si>
    <t>DISFRAZ MONO</t>
  </si>
  <si>
    <t>DISFRAZ DINOSAURIO-4</t>
  </si>
  <si>
    <t>PULSERA LED</t>
  </si>
  <si>
    <t>ITEMS ADICIONALES (3)</t>
  </si>
  <si>
    <t>PROVS ADICIONALES (1)</t>
  </si>
  <si>
    <t xml:space="preserve">CARGOS EXTRAS (QTY PROVEEDORES O QTY ITEMS) </t>
  </si>
  <si>
    <t>DESCUENTO APLICABLE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</si>
</sst>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  <numFmt numFmtId="179" formatCode="\$#,##0.00;\-\$#,##0.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宋体"/>
      <family val="3"/>
      <charset val="134"/>
    </font>
    <font>
      <sz val="11"/>
      <name val="Arial"/>
      <family val="2"/>
    </font>
    <font>
      <sz val="11"/>
      <color rgb="FFFF0000"/>
      <name val="Calibri Light"/>
      <family val="2"/>
      <scheme val="maj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9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0" fontId="39" fillId="0" borderId="1" xfId="13" applyFont="1" applyBorder="1" applyAlignment="1">
      <alignment horizontal="center" vertical="center"/>
    </xf>
    <xf numFmtId="179" fontId="39" fillId="0" borderId="1" xfId="13" applyNumberFormat="1" applyFont="1" applyBorder="1" applyAlignment="1">
      <alignment horizontal="center" vertical="center"/>
    </xf>
    <xf numFmtId="0" fontId="27" fillId="10" borderId="5" xfId="0" applyFont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172" fontId="10" fillId="9" borderId="5" xfId="0" applyNumberFormat="1" applyFont="1" applyFill="1" applyBorder="1" applyAlignment="1">
      <alignment horizontal="center"/>
    </xf>
    <xf numFmtId="170" fontId="10" fillId="6" borderId="5" xfId="0" applyNumberFormat="1" applyFont="1" applyFill="1" applyBorder="1" applyAlignment="1">
      <alignment horizontal="center"/>
    </xf>
    <xf numFmtId="0" fontId="3" fillId="14" borderId="1" xfId="0" applyFont="1" applyFill="1" applyBorder="1"/>
    <xf numFmtId="0" fontId="3" fillId="2" borderId="1" xfId="0" applyFont="1" applyFill="1" applyBorder="1"/>
    <xf numFmtId="0" fontId="40" fillId="2" borderId="0" xfId="0" applyFont="1" applyFill="1"/>
    <xf numFmtId="168" fontId="40" fillId="2" borderId="0" xfId="0" applyNumberFormat="1" applyFont="1" applyFill="1" applyAlignment="1">
      <alignment horizontal="center"/>
    </xf>
    <xf numFmtId="0" fontId="2" fillId="2" borderId="1" xfId="0" applyFont="1" applyFill="1" applyBorder="1"/>
    <xf numFmtId="0" fontId="41" fillId="2" borderId="1" xfId="0" applyFont="1" applyFill="1" applyBorder="1"/>
    <xf numFmtId="168" fontId="0" fillId="2" borderId="0" xfId="0" applyNumberFormat="1" applyFill="1"/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14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 3" xfId="13" xr:uid="{92161FD9-0594-4A7B-B8BF-54BFC5C6EEFB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57</xdr:row>
      <xdr:rowOff>147864</xdr:rowOff>
    </xdr:from>
    <xdr:to>
      <xdr:col>1</xdr:col>
      <xdr:colOff>299357</xdr:colOff>
      <xdr:row>59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57</xdr:row>
      <xdr:rowOff>139247</xdr:rowOff>
    </xdr:from>
    <xdr:to>
      <xdr:col>1</xdr:col>
      <xdr:colOff>503464</xdr:colOff>
      <xdr:row>59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74</xdr:row>
      <xdr:rowOff>147864</xdr:rowOff>
    </xdr:from>
    <xdr:to>
      <xdr:col>2</xdr:col>
      <xdr:colOff>161126</xdr:colOff>
      <xdr:row>76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74</xdr:row>
      <xdr:rowOff>139247</xdr:rowOff>
    </xdr:from>
    <xdr:to>
      <xdr:col>2</xdr:col>
      <xdr:colOff>258536</xdr:colOff>
      <xdr:row>76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88</xdr:row>
      <xdr:rowOff>147864</xdr:rowOff>
    </xdr:from>
    <xdr:to>
      <xdr:col>1</xdr:col>
      <xdr:colOff>629124</xdr:colOff>
      <xdr:row>90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88</xdr:row>
      <xdr:rowOff>139248</xdr:rowOff>
    </xdr:from>
    <xdr:to>
      <xdr:col>2</xdr:col>
      <xdr:colOff>462643</xdr:colOff>
      <xdr:row>90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2</xdr:row>
          <xdr:rowOff>219075</xdr:rowOff>
        </xdr:from>
        <xdr:to>
          <xdr:col>18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95786</xdr:colOff>
      <xdr:row>27</xdr:row>
      <xdr:rowOff>1234</xdr:rowOff>
    </xdr:from>
    <xdr:to>
      <xdr:col>8</xdr:col>
      <xdr:colOff>308094</xdr:colOff>
      <xdr:row>53</xdr:row>
      <xdr:rowOff>88389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022309" y="5248643"/>
          <a:ext cx="5537649" cy="5784837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50</xdr:row>
      <xdr:rowOff>59531</xdr:rowOff>
    </xdr:from>
    <xdr:to>
      <xdr:col>9</xdr:col>
      <xdr:colOff>218434</xdr:colOff>
      <xdr:row>55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49</xdr:row>
      <xdr:rowOff>174625</xdr:rowOff>
    </xdr:from>
    <xdr:to>
      <xdr:col>2</xdr:col>
      <xdr:colOff>119066</xdr:colOff>
      <xdr:row>55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79078</xdr:rowOff>
    </xdr:from>
    <xdr:to>
      <xdr:col>8</xdr:col>
      <xdr:colOff>464757</xdr:colOff>
      <xdr:row>95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97</xdr:row>
      <xdr:rowOff>166510</xdr:rowOff>
    </xdr:from>
    <xdr:to>
      <xdr:col>5</xdr:col>
      <xdr:colOff>401739</xdr:colOff>
      <xdr:row>112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74083</xdr:colOff>
      <xdr:row>21</xdr:row>
      <xdr:rowOff>95250</xdr:rowOff>
    </xdr:from>
    <xdr:to>
      <xdr:col>19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0"/>
  <sheetViews>
    <sheetView showGridLines="0" tabSelected="1" topLeftCell="A19" zoomScale="110" zoomScaleNormal="85" zoomScaleSheetLayoutView="80" workbookViewId="0">
      <selection activeCell="M29" sqref="M29"/>
    </sheetView>
  </sheetViews>
  <sheetFormatPr baseColWidth="10" defaultColWidth="10.85546875" defaultRowHeight="15"/>
  <cols>
    <col min="1" max="1" width="13.85546875" style="1" customWidth="1"/>
    <col min="2" max="2" width="28.28515625" style="1" bestFit="1" customWidth="1"/>
    <col min="3" max="3" width="2.42578125" style="1" customWidth="1"/>
    <col min="4" max="4" width="13.42578125" style="1" bestFit="1" customWidth="1"/>
    <col min="5" max="5" width="10.85546875" style="1" customWidth="1"/>
    <col min="6" max="6" width="12" style="1" customWidth="1"/>
    <col min="7" max="7" width="2.42578125" style="1" customWidth="1"/>
    <col min="8" max="8" width="10.42578125" style="1" bestFit="1" customWidth="1"/>
    <col min="9" max="9" width="13.7109375" style="1" customWidth="1"/>
    <col min="10" max="10" width="11.28515625" style="1" bestFit="1" customWidth="1"/>
    <col min="11" max="11" width="11.42578125" style="1" customWidth="1"/>
    <col min="12" max="12" width="7.140625" style="1" customWidth="1"/>
    <col min="13" max="13" width="14.5703125" style="1" customWidth="1"/>
    <col min="14" max="14" width="25.28515625" style="1" bestFit="1" customWidth="1"/>
    <col min="15" max="15" width="27.7109375" style="1" bestFit="1" customWidth="1"/>
    <col min="16" max="16" width="19.85546875" style="1" customWidth="1"/>
    <col min="17" max="17" width="20.140625" style="1" customWidth="1"/>
    <col min="18" max="18" width="11.42578125" style="1" customWidth="1"/>
    <col min="19" max="19" width="16.42578125" style="1" bestFit="1" customWidth="1"/>
    <col min="20" max="20" width="11.42578125" style="1" customWidth="1"/>
    <col min="21" max="16384" width="10.85546875" style="1"/>
  </cols>
  <sheetData>
    <row r="1" spans="1:25" ht="18.75">
      <c r="H1" s="32"/>
      <c r="I1" s="32"/>
      <c r="J1" s="32"/>
      <c r="K1" s="31"/>
    </row>
    <row r="2" spans="1:25" ht="18.75">
      <c r="H2" s="32"/>
      <c r="I2" s="32"/>
      <c r="J2" s="32"/>
      <c r="K2" s="31"/>
    </row>
    <row r="3" spans="1:25">
      <c r="F3" s="132"/>
      <c r="G3" s="132"/>
      <c r="H3" s="132"/>
      <c r="I3" s="132"/>
      <c r="W3" s="5" t="s">
        <v>80</v>
      </c>
    </row>
    <row r="4" spans="1:25">
      <c r="F4" s="133"/>
      <c r="G4" s="133"/>
      <c r="H4" s="133"/>
      <c r="I4" s="133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34" t="s">
        <v>116</v>
      </c>
      <c r="E7" s="134"/>
      <c r="F7" s="134"/>
      <c r="W7" s="5" t="s">
        <v>85</v>
      </c>
    </row>
    <row r="8" spans="1:25">
      <c r="A8" s="33" t="s">
        <v>79</v>
      </c>
      <c r="B8" s="47"/>
      <c r="D8" s="67" t="s">
        <v>24</v>
      </c>
      <c r="E8" s="68" t="s">
        <v>25</v>
      </c>
      <c r="F8" s="69"/>
      <c r="G8" s="31"/>
      <c r="H8" s="1" t="s">
        <v>30</v>
      </c>
      <c r="I8" s="141">
        <f>+'2'!N5</f>
        <v>9</v>
      </c>
      <c r="J8" s="141"/>
      <c r="K8" s="141"/>
      <c r="T8" s="89"/>
      <c r="W8" s="5" t="s">
        <v>89</v>
      </c>
    </row>
    <row r="9" spans="1:25">
      <c r="A9" s="33" t="s">
        <v>115</v>
      </c>
      <c r="B9" s="47"/>
      <c r="D9" s="70" t="s">
        <v>102</v>
      </c>
      <c r="E9" s="169">
        <f ca="1">+TODAY()</f>
        <v>46042</v>
      </c>
      <c r="F9" s="170"/>
      <c r="G9" s="31"/>
      <c r="H9" s="1" t="s">
        <v>29</v>
      </c>
      <c r="I9" s="142">
        <f>+'2'!N6</f>
        <v>149.19999999999999</v>
      </c>
      <c r="J9" s="142"/>
      <c r="K9" s="142"/>
      <c r="R9" s="3"/>
      <c r="S9" s="117" t="s">
        <v>88</v>
      </c>
      <c r="T9" s="6" t="s">
        <v>54</v>
      </c>
    </row>
    <row r="10" spans="1:25">
      <c r="A10" s="33" t="s">
        <v>114</v>
      </c>
      <c r="B10" s="47"/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625.5</v>
      </c>
      <c r="T10" s="86">
        <f>IF($I$11&lt;1,S10,S10/$I$11)</f>
        <v>374.99999999999994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/>
      <c r="D11" s="71" t="s">
        <v>22</v>
      </c>
      <c r="E11" s="38" t="s">
        <v>82</v>
      </c>
      <c r="F11" s="72"/>
      <c r="H11" s="1" t="s">
        <v>28</v>
      </c>
      <c r="I11" s="138">
        <f>+'2'!N8</f>
        <v>1.6680000000000001</v>
      </c>
      <c r="J11" s="138"/>
      <c r="K11" s="138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583.80000000000007</v>
      </c>
      <c r="T11" s="86">
        <f>IF($I$11&lt;1,S11,S11/$I$11)</f>
        <v>350</v>
      </c>
      <c r="U11" s="3"/>
      <c r="V11" s="82" t="s">
        <v>103</v>
      </c>
      <c r="W11" s="82">
        <v>280</v>
      </c>
      <c r="X11" s="82">
        <v>260</v>
      </c>
      <c r="Y11" s="168">
        <v>250</v>
      </c>
    </row>
    <row r="12" spans="1:25">
      <c r="R12" s="82" t="s">
        <v>89</v>
      </c>
      <c r="S12" s="116">
        <f>+P22</f>
        <v>685</v>
      </c>
      <c r="T12" s="86">
        <f>IF($I$11&lt;1,S12,S12/$I$11)</f>
        <v>410.67146282973619</v>
      </c>
      <c r="U12" s="3"/>
      <c r="V12" s="82" t="s">
        <v>104</v>
      </c>
      <c r="W12" s="82">
        <v>375</v>
      </c>
      <c r="X12" s="82">
        <v>350</v>
      </c>
      <c r="Y12" s="168"/>
    </row>
    <row r="13" spans="1:25">
      <c r="A13" s="140" t="s">
        <v>31</v>
      </c>
      <c r="B13" s="140"/>
      <c r="C13" s="140"/>
      <c r="D13" s="140"/>
      <c r="E13" s="140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417.00000000000006</v>
      </c>
      <c r="T13" s="86">
        <f>IF($I$11&lt;1,S13,S13/$I$11)</f>
        <v>250</v>
      </c>
      <c r="U13" s="88"/>
      <c r="V13" s="102" t="s">
        <v>105</v>
      </c>
      <c r="W13" s="102">
        <v>375</v>
      </c>
      <c r="X13" s="82">
        <v>350</v>
      </c>
      <c r="Y13" s="168"/>
    </row>
    <row r="14" spans="1:25">
      <c r="A14" s="160" t="s">
        <v>36</v>
      </c>
      <c r="B14" s="160"/>
      <c r="C14" s="160"/>
      <c r="D14" s="31"/>
      <c r="E14" s="31"/>
      <c r="F14" s="31"/>
      <c r="G14" s="31"/>
      <c r="J14" s="45">
        <f>'2'!N18</f>
        <v>4220</v>
      </c>
      <c r="K14" s="34" t="s">
        <v>35</v>
      </c>
      <c r="R14" s="82" t="s">
        <v>85</v>
      </c>
      <c r="S14" s="50">
        <f>IF('1'!$I$11&lt;1,250,250*'1'!$I$11)</f>
        <v>417.00000000000006</v>
      </c>
      <c r="T14" s="86">
        <f>IF($I$11&lt;1,S14,S14/$I$11)</f>
        <v>250</v>
      </c>
      <c r="V14" s="102" t="s">
        <v>106</v>
      </c>
      <c r="W14" s="102">
        <v>350</v>
      </c>
      <c r="X14" s="82">
        <v>325</v>
      </c>
      <c r="Y14" s="168"/>
    </row>
    <row r="15" spans="1:25">
      <c r="A15" s="159" t="s">
        <v>32</v>
      </c>
      <c r="B15" s="159"/>
      <c r="C15" s="159"/>
      <c r="D15" s="38"/>
      <c r="E15" s="38"/>
      <c r="F15" s="38"/>
      <c r="G15" s="38"/>
      <c r="H15" s="38"/>
      <c r="I15" s="38"/>
      <c r="J15" s="46">
        <f>IF(I11&lt;1,'2'!N21+'2'!N24,60%*(T16*I11)+'2'!N24)</f>
        <v>425.3</v>
      </c>
      <c r="K15" s="39" t="s">
        <v>35</v>
      </c>
      <c r="V15" s="82" t="s">
        <v>107</v>
      </c>
      <c r="W15" s="82">
        <v>325</v>
      </c>
      <c r="X15" s="82">
        <v>300</v>
      </c>
      <c r="Y15" s="168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4645.3</v>
      </c>
      <c r="K16" s="34" t="s">
        <v>35</v>
      </c>
      <c r="O16" s="49"/>
      <c r="R16" s="82" t="s">
        <v>91</v>
      </c>
      <c r="S16" s="82" t="str">
        <f>E11</f>
        <v>NUEVO</v>
      </c>
      <c r="T16" s="82">
        <f>VLOOKUP(S16,R10:T14,3,0)</f>
        <v>374.99999999999994</v>
      </c>
      <c r="V16" s="82" t="s">
        <v>108</v>
      </c>
      <c r="W16" s="82">
        <v>300</v>
      </c>
      <c r="X16" s="82">
        <v>280</v>
      </c>
      <c r="Y16" s="168"/>
    </row>
    <row r="17" spans="1:16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6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O18" s="5" t="s">
        <v>137</v>
      </c>
      <c r="P18" s="5"/>
    </row>
    <row r="19" spans="1:16">
      <c r="A19" s="140" t="s">
        <v>100</v>
      </c>
      <c r="B19" s="140"/>
      <c r="C19" s="140"/>
      <c r="D19" s="140"/>
      <c r="E19" s="140"/>
      <c r="F19" s="60"/>
      <c r="G19" s="60"/>
      <c r="H19" s="60"/>
      <c r="I19" s="36" t="s">
        <v>42</v>
      </c>
      <c r="J19" s="36" t="s">
        <v>34</v>
      </c>
      <c r="K19" s="36" t="s">
        <v>33</v>
      </c>
      <c r="O19" s="5" t="s">
        <v>138</v>
      </c>
      <c r="P19" s="5">
        <v>625</v>
      </c>
    </row>
    <row r="20" spans="1:16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MAX('2'!C33:M33)</f>
        <v>0.06</v>
      </c>
      <c r="J20" s="45">
        <f>'2'!N34</f>
        <v>199.66350710900474</v>
      </c>
      <c r="K20" s="34" t="s">
        <v>35</v>
      </c>
      <c r="N20" s="110" t="s">
        <v>54</v>
      </c>
      <c r="O20" s="129" t="s">
        <v>153</v>
      </c>
      <c r="P20" s="129">
        <v>10</v>
      </c>
    </row>
    <row r="21" spans="1:16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'2'!N35</f>
        <v>780.9061611374409</v>
      </c>
      <c r="K21" s="34" t="s">
        <v>35</v>
      </c>
      <c r="N21" s="111">
        <f>J31/I11</f>
        <v>29.976019184652277</v>
      </c>
      <c r="O21" s="130" t="s">
        <v>154</v>
      </c>
      <c r="P21" s="130">
        <v>50</v>
      </c>
    </row>
    <row r="22" spans="1:16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'2'!N36</f>
        <v>97.613270142180113</v>
      </c>
      <c r="K22" s="34" t="s">
        <v>35</v>
      </c>
      <c r="O22" s="125" t="s">
        <v>139</v>
      </c>
      <c r="P22" s="125">
        <f>+P19+P20+P21</f>
        <v>685</v>
      </c>
    </row>
    <row r="23" spans="1:16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MAX('2'!C30:M30)</f>
        <v>0</v>
      </c>
      <c r="J23" s="46">
        <f>'2'!N31</f>
        <v>0</v>
      </c>
      <c r="K23" s="39" t="s">
        <v>35</v>
      </c>
    </row>
    <row r="24" spans="1:16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1078.1829383886256</v>
      </c>
      <c r="K24" s="34" t="s">
        <v>35</v>
      </c>
      <c r="L24" s="80"/>
      <c r="N24" s="131">
        <f>J30/I11</f>
        <v>410.67146282973619</v>
      </c>
    </row>
    <row r="25" spans="1:16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6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'2'!N37</f>
        <v>201.57140284360193</v>
      </c>
      <c r="K26" s="39" t="s">
        <v>35</v>
      </c>
    </row>
    <row r="27" spans="1:16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1279.7543412322275</v>
      </c>
      <c r="K27" s="34" t="s">
        <v>35</v>
      </c>
    </row>
    <row r="29" spans="1:16" ht="15.75">
      <c r="A29" s="139" t="s">
        <v>97</v>
      </c>
      <c r="B29" s="139"/>
      <c r="C29" s="139"/>
      <c r="D29" s="139"/>
      <c r="E29" s="139"/>
      <c r="F29" s="90"/>
      <c r="G29" s="90"/>
      <c r="H29" s="91"/>
      <c r="I29" s="91"/>
      <c r="J29" s="91" t="s">
        <v>34</v>
      </c>
      <c r="K29" s="91" t="s">
        <v>33</v>
      </c>
      <c r="M29" s="80">
        <f>J30/I11</f>
        <v>410.67146282973619</v>
      </c>
    </row>
    <row r="30" spans="1:16">
      <c r="A30" s="31" t="s">
        <v>99</v>
      </c>
      <c r="B30" s="31"/>
      <c r="C30" s="31"/>
      <c r="D30" s="31"/>
      <c r="E30" s="31"/>
      <c r="F30" s="31"/>
      <c r="G30" s="31"/>
      <c r="H30" s="45"/>
      <c r="I30" s="45"/>
      <c r="J30" s="45">
        <f>+'2'!N45+'2'!N21</f>
        <v>685</v>
      </c>
      <c r="K30" s="34" t="s">
        <v>35</v>
      </c>
    </row>
    <row r="31" spans="1:16">
      <c r="A31" s="31" t="s">
        <v>155</v>
      </c>
      <c r="B31" s="31"/>
      <c r="C31" s="31"/>
      <c r="D31" s="31"/>
      <c r="E31" s="31"/>
      <c r="F31" s="31"/>
      <c r="G31" s="31"/>
      <c r="H31" s="45"/>
      <c r="I31" s="45"/>
      <c r="J31" s="45">
        <v>50</v>
      </c>
      <c r="K31" s="34" t="s">
        <v>35</v>
      </c>
      <c r="L31" s="110" t="s">
        <v>34</v>
      </c>
    </row>
    <row r="32" spans="1:16">
      <c r="A32" s="127" t="s">
        <v>156</v>
      </c>
      <c r="B32" s="31"/>
      <c r="C32" s="31"/>
      <c r="D32" s="31"/>
      <c r="E32" s="31"/>
      <c r="F32" s="31"/>
      <c r="G32" s="31"/>
      <c r="H32" s="45"/>
      <c r="I32" s="45"/>
      <c r="J32" s="128">
        <v>100</v>
      </c>
      <c r="K32" s="34" t="s">
        <v>35</v>
      </c>
      <c r="L32" s="110"/>
    </row>
    <row r="33" spans="1:19">
      <c r="A33" s="38" t="s">
        <v>44</v>
      </c>
      <c r="B33" s="38"/>
      <c r="C33" s="38"/>
      <c r="D33" s="38"/>
      <c r="E33" s="38"/>
      <c r="F33" s="38"/>
      <c r="G33" s="38"/>
      <c r="H33" s="46"/>
      <c r="I33" s="46"/>
      <c r="J33" s="46">
        <f>J27</f>
        <v>1279.7543412322275</v>
      </c>
      <c r="K33" s="39" t="s">
        <v>35</v>
      </c>
      <c r="N33" s="2"/>
    </row>
    <row r="34" spans="1:19">
      <c r="A34" s="33" t="s">
        <v>98</v>
      </c>
      <c r="B34" s="31"/>
      <c r="C34" s="31"/>
      <c r="D34" s="31"/>
      <c r="E34" s="31"/>
      <c r="F34" s="31"/>
      <c r="G34" s="31"/>
      <c r="H34" s="45"/>
      <c r="I34" s="45"/>
      <c r="J34" s="45">
        <f>(J30+J31+J33)-J32</f>
        <v>1914.7543412322275</v>
      </c>
      <c r="K34" s="34" t="s">
        <v>35</v>
      </c>
      <c r="M34" s="173" t="s">
        <v>121</v>
      </c>
      <c r="N34" s="173"/>
      <c r="O34" s="173"/>
      <c r="P34" s="173"/>
      <c r="Q34" s="173"/>
    </row>
    <row r="35" spans="1:19" ht="20.25" customHeight="1">
      <c r="A35" s="33"/>
      <c r="B35" s="31"/>
      <c r="C35" s="31"/>
      <c r="D35" s="31"/>
      <c r="E35" s="31"/>
      <c r="F35" s="31"/>
      <c r="G35" s="31"/>
      <c r="H35" s="37"/>
      <c r="I35" s="37"/>
      <c r="J35" s="37"/>
      <c r="K35" s="34"/>
      <c r="M35" s="174"/>
      <c r="N35" s="174"/>
      <c r="O35" s="174"/>
      <c r="P35" s="174"/>
      <c r="Q35" s="174"/>
    </row>
    <row r="36" spans="1:19" ht="15" customHeight="1">
      <c r="A36" s="161" t="s">
        <v>101</v>
      </c>
      <c r="B36" s="162"/>
      <c r="C36" s="162"/>
      <c r="D36" s="162"/>
      <c r="E36" s="162"/>
      <c r="F36" s="162"/>
      <c r="G36" s="162"/>
      <c r="H36" s="162"/>
      <c r="I36" s="162"/>
      <c r="J36" s="162"/>
      <c r="K36" s="163"/>
      <c r="M36" s="166" t="s">
        <v>46</v>
      </c>
      <c r="N36" s="164" t="s">
        <v>77</v>
      </c>
      <c r="O36" s="175" t="s">
        <v>117</v>
      </c>
      <c r="P36" s="177" t="s">
        <v>118</v>
      </c>
      <c r="Q36" s="171" t="s">
        <v>119</v>
      </c>
    </row>
    <row r="37" spans="1:19" ht="17.25" customHeight="1">
      <c r="A37" s="61" t="s">
        <v>46</v>
      </c>
      <c r="B37" s="135" t="s">
        <v>77</v>
      </c>
      <c r="C37" s="136"/>
      <c r="D37" s="137"/>
      <c r="E37" s="7" t="s">
        <v>1</v>
      </c>
      <c r="F37" s="135" t="s">
        <v>78</v>
      </c>
      <c r="G37" s="137"/>
      <c r="H37" s="5" t="s">
        <v>75</v>
      </c>
      <c r="I37" s="74" t="s">
        <v>8</v>
      </c>
      <c r="J37" s="143" t="s">
        <v>76</v>
      </c>
      <c r="K37" s="143"/>
      <c r="M37" s="167"/>
      <c r="N37" s="165"/>
      <c r="O37" s="176"/>
      <c r="P37" s="178"/>
      <c r="Q37" s="172"/>
    </row>
    <row r="38" spans="1:19">
      <c r="A38" s="61">
        <v>1</v>
      </c>
      <c r="B38" s="135" t="str">
        <f>+'2'!$C$11</f>
        <v>BASE DE LAMPARA LED</v>
      </c>
      <c r="C38" s="136"/>
      <c r="D38" s="137"/>
      <c r="E38" s="7">
        <f>+'2'!$C$52</f>
        <v>100</v>
      </c>
      <c r="F38" s="156">
        <f>+'2'!$C$15</f>
        <v>12.2</v>
      </c>
      <c r="G38" s="157"/>
      <c r="H38" s="75">
        <f>+'2'!$C$53</f>
        <v>15.339347075829386</v>
      </c>
      <c r="I38" s="75">
        <f t="shared" ref="I38" si="0">+E38*H38</f>
        <v>1533.9347075829385</v>
      </c>
      <c r="J38" s="143">
        <f>H38*3.8</f>
        <v>58.289518888151662</v>
      </c>
      <c r="K38" s="143"/>
      <c r="M38" s="61">
        <v>1</v>
      </c>
      <c r="N38" s="101" t="str">
        <f>+B38</f>
        <v>BASE DE LAMPARA LED</v>
      </c>
      <c r="O38" s="103">
        <f>+F38</f>
        <v>12.2</v>
      </c>
      <c r="P38" s="75">
        <f>+H38</f>
        <v>15.339347075829386</v>
      </c>
      <c r="Q38" s="105">
        <f>P38*3.8</f>
        <v>58.289518888151662</v>
      </c>
    </row>
    <row r="39" spans="1:19" ht="15.75">
      <c r="A39" s="66" t="s">
        <v>8</v>
      </c>
      <c r="B39" s="2"/>
      <c r="C39" s="2"/>
      <c r="D39" s="2"/>
      <c r="E39" s="43">
        <f>+SUM(E38:E38)</f>
        <v>100</v>
      </c>
      <c r="F39" s="2"/>
      <c r="G39" s="2"/>
      <c r="I39" s="118">
        <f>+SUM(I38:I38)</f>
        <v>1533.9347075829385</v>
      </c>
      <c r="J39" s="76"/>
      <c r="K39" s="77"/>
      <c r="L39" s="2"/>
    </row>
    <row r="40" spans="1:19" ht="15.75" customHeight="1">
      <c r="A40" s="66"/>
      <c r="B40" s="2"/>
      <c r="C40" s="2"/>
      <c r="D40" s="2"/>
      <c r="E40" s="43"/>
      <c r="F40" s="2"/>
      <c r="G40" s="2"/>
      <c r="I40" s="95"/>
      <c r="J40" s="76"/>
      <c r="K40" s="77"/>
      <c r="M40" s="149" t="s">
        <v>120</v>
      </c>
      <c r="N40" s="149"/>
      <c r="O40" s="149"/>
      <c r="P40" s="152" t="s">
        <v>126</v>
      </c>
      <c r="Q40" s="153"/>
    </row>
    <row r="41" spans="1:19" ht="18.75" customHeight="1">
      <c r="A41" s="93" t="s">
        <v>53</v>
      </c>
      <c r="B41" s="31"/>
      <c r="C41" s="31"/>
      <c r="D41" s="31"/>
      <c r="E41" s="31"/>
      <c r="F41" s="31"/>
      <c r="G41" s="31"/>
      <c r="H41" s="31"/>
      <c r="I41" s="31"/>
      <c r="J41" s="31"/>
      <c r="M41" s="149"/>
      <c r="N41" s="149"/>
      <c r="O41" s="149"/>
      <c r="P41" s="154"/>
      <c r="Q41" s="155"/>
    </row>
    <row r="42" spans="1:19" ht="21">
      <c r="A42" s="94" t="s">
        <v>92</v>
      </c>
      <c r="B42" s="31"/>
      <c r="C42" s="31"/>
      <c r="D42" s="31"/>
      <c r="E42" s="31"/>
      <c r="F42" s="31"/>
      <c r="G42" s="31"/>
      <c r="H42" s="31"/>
      <c r="I42" s="31"/>
      <c r="J42" s="31"/>
      <c r="M42" s="150" t="s">
        <v>122</v>
      </c>
      <c r="N42" s="151"/>
      <c r="O42" s="106">
        <f>+J31</f>
        <v>50</v>
      </c>
      <c r="P42" s="104" t="s">
        <v>140</v>
      </c>
    </row>
    <row r="43" spans="1:19" ht="21">
      <c r="A43" s="94" t="s">
        <v>93</v>
      </c>
      <c r="B43" s="31"/>
      <c r="C43" s="31"/>
      <c r="D43" s="31"/>
      <c r="E43" s="31"/>
      <c r="F43" s="31"/>
      <c r="G43" s="31"/>
      <c r="H43" s="31"/>
      <c r="I43" s="31"/>
      <c r="J43" s="31"/>
      <c r="M43" s="150" t="s">
        <v>123</v>
      </c>
      <c r="N43" s="151"/>
      <c r="O43" s="106">
        <f>+J33</f>
        <v>1279.7543412322275</v>
      </c>
      <c r="P43" s="104" t="s">
        <v>141</v>
      </c>
    </row>
    <row r="44" spans="1:19" ht="18.75">
      <c r="A44" s="94" t="s">
        <v>110</v>
      </c>
      <c r="B44" s="31"/>
      <c r="C44" s="31"/>
      <c r="D44" s="31"/>
      <c r="E44" s="31"/>
      <c r="F44" s="31"/>
      <c r="G44" s="31"/>
      <c r="H44" s="31"/>
      <c r="I44" s="31"/>
      <c r="J44" s="31"/>
    </row>
    <row r="45" spans="1:19" ht="18.75">
      <c r="A45" s="94" t="s">
        <v>94</v>
      </c>
      <c r="B45" s="31"/>
      <c r="C45" s="31"/>
      <c r="D45" s="31"/>
      <c r="E45" s="31"/>
      <c r="F45" s="31"/>
      <c r="G45" s="31"/>
      <c r="H45" s="31"/>
      <c r="I45" s="31"/>
      <c r="J45" s="31"/>
      <c r="M45" s="144" t="s">
        <v>125</v>
      </c>
      <c r="N45" s="144"/>
      <c r="O45" s="145">
        <f>+O42+O43+J14</f>
        <v>5549.7543412322275</v>
      </c>
      <c r="P45" s="147" t="s">
        <v>124</v>
      </c>
      <c r="Q45" s="148"/>
      <c r="S45" s="132"/>
    </row>
    <row r="46" spans="1:19" ht="18.75" customHeight="1">
      <c r="A46" s="94" t="s">
        <v>111</v>
      </c>
      <c r="B46" s="31"/>
      <c r="C46" s="31"/>
      <c r="D46" s="31"/>
      <c r="E46" s="31"/>
      <c r="F46" s="31"/>
      <c r="G46" s="31"/>
      <c r="H46" s="31"/>
      <c r="I46" s="31"/>
      <c r="J46" s="31"/>
      <c r="M46" s="144"/>
      <c r="N46" s="144"/>
      <c r="O46" s="146"/>
      <c r="P46" s="147"/>
      <c r="Q46" s="148"/>
      <c r="S46" s="132"/>
    </row>
    <row r="47" spans="1:19" ht="18.75" customHeight="1">
      <c r="A47" s="94" t="s">
        <v>112</v>
      </c>
      <c r="B47" s="31"/>
      <c r="C47" s="31"/>
      <c r="D47" s="31"/>
      <c r="E47" s="31"/>
      <c r="F47" s="31"/>
      <c r="G47" s="31"/>
      <c r="H47" s="31"/>
      <c r="I47" s="31"/>
      <c r="J47" s="31"/>
      <c r="S47" s="132"/>
    </row>
    <row r="48" spans="1:19" ht="18.75">
      <c r="A48" s="94" t="s">
        <v>113</v>
      </c>
      <c r="B48" s="31"/>
      <c r="C48" s="31"/>
      <c r="D48" s="31"/>
      <c r="E48" s="31"/>
      <c r="F48" s="31"/>
      <c r="G48" s="31"/>
      <c r="H48" s="31"/>
      <c r="I48" s="31"/>
      <c r="J48" s="31"/>
      <c r="S48" s="132"/>
    </row>
    <row r="49" spans="1:19" ht="18.75">
      <c r="A49" s="94" t="s">
        <v>109</v>
      </c>
      <c r="B49" s="31"/>
      <c r="C49" s="31"/>
      <c r="D49" s="31"/>
      <c r="E49" s="31"/>
      <c r="F49" s="31"/>
      <c r="G49" s="31"/>
      <c r="H49" s="31"/>
      <c r="I49" s="31"/>
      <c r="J49" s="31"/>
      <c r="S49" s="132"/>
    </row>
    <row r="50" spans="1:19">
      <c r="A50" s="31"/>
      <c r="B50" s="31"/>
      <c r="C50" s="31"/>
      <c r="D50" s="31"/>
      <c r="E50" s="31"/>
      <c r="F50" s="31"/>
      <c r="G50" s="31"/>
      <c r="H50" s="31"/>
      <c r="I50" s="31"/>
      <c r="J50" s="31"/>
      <c r="S50" s="132"/>
    </row>
    <row r="52" spans="1:19" ht="18.75">
      <c r="H52" s="32"/>
      <c r="I52" s="32"/>
      <c r="J52" s="32"/>
      <c r="K52" s="31"/>
    </row>
    <row r="53" spans="1:19" ht="18.75">
      <c r="H53" s="32"/>
      <c r="I53" s="32"/>
      <c r="J53" s="32"/>
      <c r="K53" s="31"/>
    </row>
    <row r="55" spans="1:19">
      <c r="H55" s="40"/>
      <c r="I55" s="40"/>
      <c r="J55" s="40"/>
    </row>
    <row r="57" spans="1:19" ht="21">
      <c r="A57" s="158" t="s">
        <v>45</v>
      </c>
      <c r="B57" s="158"/>
      <c r="C57" s="158"/>
      <c r="D57" s="158"/>
      <c r="E57" s="158"/>
      <c r="F57" s="158"/>
      <c r="G57" s="158"/>
      <c r="H57" s="158"/>
      <c r="I57" s="158"/>
      <c r="J57" s="158"/>
      <c r="K57" s="158"/>
    </row>
    <row r="61" spans="1:19">
      <c r="A61" s="51" t="s">
        <v>47</v>
      </c>
      <c r="B61" s="31"/>
      <c r="C61" s="31"/>
      <c r="D61" s="31"/>
    </row>
    <row r="62" spans="1:19">
      <c r="A62" s="51" t="s">
        <v>56</v>
      </c>
      <c r="B62" s="31"/>
      <c r="C62" s="31"/>
      <c r="D62" s="31"/>
    </row>
    <row r="63" spans="1:19">
      <c r="A63" s="31" t="s">
        <v>55</v>
      </c>
      <c r="C63" s="31"/>
      <c r="D63" s="31"/>
    </row>
    <row r="64" spans="1:19">
      <c r="A64" s="51" t="s">
        <v>48</v>
      </c>
      <c r="B64" s="31"/>
      <c r="C64" s="31"/>
      <c r="D64" s="31"/>
    </row>
    <row r="65" spans="1:10">
      <c r="A65" s="51" t="s">
        <v>58</v>
      </c>
      <c r="B65" s="31"/>
      <c r="C65" s="31"/>
      <c r="D65" s="31"/>
    </row>
    <row r="66" spans="1:10">
      <c r="A66" s="31" t="s">
        <v>57</v>
      </c>
      <c r="C66" s="31"/>
      <c r="D66" s="31"/>
    </row>
    <row r="67" spans="1:10">
      <c r="A67" s="51" t="s">
        <v>49</v>
      </c>
      <c r="B67" s="31"/>
      <c r="C67" s="31"/>
      <c r="D67" s="31"/>
    </row>
    <row r="68" spans="1:10">
      <c r="A68" s="51" t="s">
        <v>51</v>
      </c>
      <c r="B68" s="31"/>
      <c r="C68" s="31"/>
      <c r="D68" s="31"/>
    </row>
    <row r="69" spans="1:10">
      <c r="A69" s="51" t="s">
        <v>59</v>
      </c>
      <c r="B69" s="31"/>
      <c r="C69" s="31"/>
      <c r="D69" s="31"/>
    </row>
    <row r="70" spans="1:10">
      <c r="A70" s="51" t="s">
        <v>60</v>
      </c>
      <c r="B70" s="31"/>
      <c r="C70" s="31"/>
      <c r="D70" s="31"/>
    </row>
    <row r="71" spans="1:10">
      <c r="A71" s="51" t="s">
        <v>62</v>
      </c>
      <c r="B71" s="31"/>
      <c r="C71" s="31"/>
      <c r="D71" s="31"/>
    </row>
    <row r="72" spans="1:10">
      <c r="A72" s="51" t="s">
        <v>61</v>
      </c>
      <c r="B72" s="31"/>
      <c r="C72" s="31"/>
      <c r="D72" s="31"/>
    </row>
    <row r="73" spans="1:10">
      <c r="A73" s="51" t="s">
        <v>50</v>
      </c>
      <c r="B73" s="31"/>
      <c r="C73" s="31"/>
      <c r="D73" s="31"/>
    </row>
    <row r="74" spans="1:10">
      <c r="A74" s="51" t="s">
        <v>130</v>
      </c>
      <c r="B74" s="31"/>
      <c r="C74" s="31"/>
      <c r="D74" s="31"/>
    </row>
    <row r="78" spans="1:10">
      <c r="A78" s="51" t="s">
        <v>63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108" t="s">
        <v>127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51" t="s">
        <v>64</v>
      </c>
      <c r="B80" s="31"/>
      <c r="C80" s="31"/>
      <c r="D80" s="31"/>
      <c r="E80" s="31"/>
      <c r="F80" s="31"/>
      <c r="G80" s="31"/>
      <c r="H80" s="31"/>
      <c r="I80" s="31"/>
      <c r="J80" s="31"/>
    </row>
    <row r="81" spans="1:10">
      <c r="A81" s="107" t="s">
        <v>128</v>
      </c>
      <c r="C81" s="31"/>
      <c r="D81" s="31"/>
      <c r="E81" s="31"/>
      <c r="F81" s="31"/>
      <c r="G81" s="31"/>
      <c r="H81" s="31"/>
      <c r="I81" s="31"/>
      <c r="J81" s="31"/>
    </row>
    <row r="82" spans="1:10">
      <c r="A82" s="51" t="s">
        <v>65</v>
      </c>
      <c r="B82" s="31"/>
      <c r="C82" s="31"/>
      <c r="D82" s="31"/>
      <c r="E82" s="31"/>
      <c r="F82" s="31"/>
      <c r="G82" s="31"/>
      <c r="H82" s="31"/>
      <c r="I82" s="31"/>
      <c r="J82" s="31"/>
    </row>
    <row r="83" spans="1:10">
      <c r="A83" s="35" t="s">
        <v>52</v>
      </c>
      <c r="C83" s="31"/>
      <c r="D83" s="31"/>
      <c r="E83" s="31"/>
      <c r="F83" s="31"/>
      <c r="G83" s="31"/>
      <c r="H83" s="31"/>
      <c r="I83" s="31"/>
      <c r="J83" s="31"/>
    </row>
    <row r="84" spans="1:10">
      <c r="A84" s="51" t="s">
        <v>66</v>
      </c>
      <c r="B84" s="31"/>
      <c r="C84" s="31"/>
      <c r="D84" s="31"/>
      <c r="E84" s="31"/>
      <c r="F84" s="31"/>
      <c r="G84" s="31"/>
      <c r="H84" s="31"/>
      <c r="I84" s="31"/>
      <c r="J84" s="31"/>
    </row>
    <row r="85" spans="1:10">
      <c r="A85" s="51" t="s">
        <v>67</v>
      </c>
      <c r="B85" s="31"/>
      <c r="C85" s="31"/>
      <c r="D85" s="31"/>
      <c r="E85" s="31"/>
      <c r="F85" s="31"/>
      <c r="G85" s="31"/>
      <c r="H85" s="31"/>
      <c r="I85" s="31"/>
      <c r="J85" s="31"/>
    </row>
    <row r="86" spans="1:10">
      <c r="A86" s="51" t="s">
        <v>68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69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129</v>
      </c>
      <c r="B88" s="31"/>
      <c r="C88" s="31"/>
      <c r="D88" s="31"/>
      <c r="E88" s="31"/>
      <c r="F88" s="31"/>
      <c r="G88" s="31"/>
      <c r="H88" s="31"/>
      <c r="I88" s="31"/>
      <c r="J88" s="31"/>
    </row>
    <row r="92" spans="1:10">
      <c r="A92" s="51" t="s">
        <v>83</v>
      </c>
      <c r="B92" s="31"/>
      <c r="C92" s="31"/>
      <c r="D92" s="31"/>
    </row>
    <row r="93" spans="1:10">
      <c r="A93" s="51" t="s">
        <v>84</v>
      </c>
      <c r="B93" s="31"/>
      <c r="C93" s="31"/>
      <c r="D93" s="31"/>
    </row>
    <row r="94" spans="1:10">
      <c r="A94" s="41" t="s">
        <v>131</v>
      </c>
      <c r="B94" s="31"/>
      <c r="C94" s="31"/>
      <c r="D94" s="31"/>
    </row>
    <row r="95" spans="1:10">
      <c r="A95" s="41" t="s">
        <v>132</v>
      </c>
    </row>
    <row r="96" spans="1:10">
      <c r="A96" s="41" t="s">
        <v>133</v>
      </c>
    </row>
    <row r="101" spans="2:10">
      <c r="B101" s="41"/>
    </row>
    <row r="102" spans="2:10" ht="15.75">
      <c r="B102" s="42"/>
    </row>
    <row r="103" spans="2:10" ht="15.75">
      <c r="B103" s="42"/>
    </row>
    <row r="105" spans="2:10">
      <c r="C105" s="43"/>
      <c r="H105" s="43"/>
      <c r="I105" s="43"/>
      <c r="J105" s="43"/>
    </row>
    <row r="106" spans="2:10">
      <c r="C106" s="43"/>
      <c r="H106" s="43"/>
      <c r="I106" s="43"/>
      <c r="J106" s="43"/>
    </row>
    <row r="108" spans="2:10">
      <c r="C108" s="2"/>
      <c r="H108" s="2"/>
      <c r="I108" s="2"/>
      <c r="J108" s="2"/>
    </row>
    <row r="110" spans="2:10" ht="15.75">
      <c r="B110" s="44"/>
    </row>
  </sheetData>
  <sheetProtection selectLockedCells="1"/>
  <mergeCells count="35">
    <mergeCell ref="Y11:Y16"/>
    <mergeCell ref="E9:F9"/>
    <mergeCell ref="Q36:Q37"/>
    <mergeCell ref="M34:Q35"/>
    <mergeCell ref="O36:O37"/>
    <mergeCell ref="P36:P37"/>
    <mergeCell ref="N36:N37"/>
    <mergeCell ref="M36:M37"/>
    <mergeCell ref="A57:K57"/>
    <mergeCell ref="J38:K38"/>
    <mergeCell ref="A15:C15"/>
    <mergeCell ref="A14:C14"/>
    <mergeCell ref="B38:D38"/>
    <mergeCell ref="F38:G38"/>
    <mergeCell ref="F37:G37"/>
    <mergeCell ref="A36:K36"/>
    <mergeCell ref="M45:N46"/>
    <mergeCell ref="O45:O46"/>
    <mergeCell ref="P45:Q46"/>
    <mergeCell ref="M40:O41"/>
    <mergeCell ref="S45:S50"/>
    <mergeCell ref="M42:N42"/>
    <mergeCell ref="M43:N43"/>
    <mergeCell ref="P40:Q41"/>
    <mergeCell ref="F3:I3"/>
    <mergeCell ref="F4:I4"/>
    <mergeCell ref="D7:F7"/>
    <mergeCell ref="B37:D37"/>
    <mergeCell ref="I11:K11"/>
    <mergeCell ref="A29:E29"/>
    <mergeCell ref="A13:E13"/>
    <mergeCell ref="A19:E19"/>
    <mergeCell ref="I8:K8"/>
    <mergeCell ref="I9:K9"/>
    <mergeCell ref="J37:K37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50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219075</xdr:colOff>
                    <xdr:row>2</xdr:row>
                    <xdr:rowOff>219075</xdr:rowOff>
                  </from>
                  <to>
                    <xdr:col>18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F54"/>
  <sheetViews>
    <sheetView zoomScaleNormal="100" workbookViewId="0">
      <selection activeCell="B43" sqref="B43:N46"/>
    </sheetView>
  </sheetViews>
  <sheetFormatPr baseColWidth="10" defaultRowHeight="15"/>
  <cols>
    <col min="1" max="1" width="2.85546875" style="1" customWidth="1"/>
    <col min="2" max="2" width="19.42578125" style="1" customWidth="1"/>
    <col min="3" max="13" width="11.28515625" style="2" customWidth="1"/>
    <col min="14" max="14" width="16.7109375" style="2" bestFit="1" customWidth="1"/>
    <col min="15" max="15" width="11.42578125" style="2"/>
    <col min="16" max="16" width="11.28515625" style="2" customWidth="1"/>
    <col min="17" max="18" width="11.42578125" style="2"/>
    <col min="19" max="19" width="13.42578125" style="2" bestFit="1" customWidth="1"/>
    <col min="20" max="20" width="11.42578125" style="2" customWidth="1"/>
    <col min="21" max="21" width="14" style="2" customWidth="1"/>
    <col min="22" max="22" width="11.85546875" style="2" bestFit="1" customWidth="1"/>
    <col min="23" max="57" width="11.42578125" style="1"/>
  </cols>
  <sheetData>
    <row r="1" spans="2:57" ht="15.75" thickBot="1">
      <c r="B1" s="179" t="s">
        <v>12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1"/>
    </row>
    <row r="2" spans="2:57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</row>
    <row r="3" spans="2:57" s="1" customFormat="1" ht="23.1" customHeight="1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112" t="s">
        <v>136</v>
      </c>
      <c r="O3" s="43"/>
      <c r="P3" s="43"/>
      <c r="Q3" s="43"/>
      <c r="R3" s="43"/>
      <c r="S3" s="43"/>
      <c r="T3" s="43"/>
      <c r="U3" s="43"/>
      <c r="V3" s="43"/>
    </row>
    <row r="4" spans="2:57">
      <c r="B4" s="109" t="s">
        <v>134</v>
      </c>
      <c r="C4" s="126">
        <v>1</v>
      </c>
      <c r="D4" s="186">
        <v>2</v>
      </c>
      <c r="E4" s="186"/>
      <c r="F4" s="186"/>
      <c r="G4" s="186"/>
      <c r="H4" s="186"/>
      <c r="I4" s="186"/>
      <c r="J4" s="186"/>
      <c r="K4" s="186"/>
      <c r="L4" s="186"/>
      <c r="M4" s="186"/>
      <c r="N4" s="112">
        <f>COUNT(C4:M4)</f>
        <v>2</v>
      </c>
      <c r="O4" s="43"/>
      <c r="P4" s="43"/>
      <c r="Q4" s="43"/>
      <c r="R4" s="43"/>
      <c r="S4" s="43"/>
      <c r="T4" s="43"/>
      <c r="U4" s="43"/>
      <c r="V4" s="43"/>
    </row>
    <row r="5" spans="2:57">
      <c r="B5" s="109" t="s">
        <v>30</v>
      </c>
      <c r="C5" s="126">
        <v>1</v>
      </c>
      <c r="D5" s="186">
        <v>8</v>
      </c>
      <c r="E5" s="186"/>
      <c r="F5" s="186"/>
      <c r="G5" s="186"/>
      <c r="H5" s="186"/>
      <c r="I5" s="186"/>
      <c r="J5" s="186"/>
      <c r="K5" s="186"/>
      <c r="L5" s="186"/>
      <c r="M5" s="186"/>
      <c r="N5" s="112">
        <f>SUM(C5:M5)</f>
        <v>9</v>
      </c>
    </row>
    <row r="6" spans="2:57">
      <c r="B6" s="109" t="s">
        <v>95</v>
      </c>
      <c r="C6" s="126">
        <v>23.2</v>
      </c>
      <c r="D6" s="186">
        <v>126</v>
      </c>
      <c r="E6" s="186"/>
      <c r="F6" s="186"/>
      <c r="G6" s="186"/>
      <c r="H6" s="186"/>
      <c r="I6" s="186"/>
      <c r="J6" s="186"/>
      <c r="K6" s="186"/>
      <c r="L6" s="186"/>
      <c r="M6" s="186"/>
      <c r="N6" s="112">
        <f>SUM(C6:M6)</f>
        <v>149.19999999999999</v>
      </c>
    </row>
    <row r="7" spans="2:57">
      <c r="B7" s="109" t="s">
        <v>73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</row>
    <row r="8" spans="2:57">
      <c r="B8" s="109" t="s">
        <v>135</v>
      </c>
      <c r="C8" s="126">
        <v>8.4000000000000005E-2</v>
      </c>
      <c r="D8" s="187">
        <v>1.5840000000000001</v>
      </c>
      <c r="E8" s="188"/>
      <c r="F8" s="188"/>
      <c r="G8" s="188"/>
      <c r="H8" s="188"/>
      <c r="I8" s="188"/>
      <c r="J8" s="188"/>
      <c r="K8" s="188"/>
      <c r="L8" s="188"/>
      <c r="M8" s="189"/>
      <c r="N8" s="112">
        <f>SUM(C8:M8)</f>
        <v>1.6680000000000001</v>
      </c>
    </row>
    <row r="9" spans="2:57" s="1" customFormat="1">
      <c r="B9" s="114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115"/>
      <c r="O9" s="2"/>
      <c r="P9" s="2"/>
      <c r="Q9" s="2"/>
      <c r="R9" s="2"/>
      <c r="S9" s="2"/>
      <c r="T9" s="2"/>
      <c r="U9" s="2"/>
      <c r="V9" s="2"/>
    </row>
    <row r="10" spans="2:57">
      <c r="C10" s="113">
        <v>1</v>
      </c>
      <c r="D10" s="113">
        <v>2</v>
      </c>
      <c r="E10" s="113">
        <v>3</v>
      </c>
      <c r="F10" s="113">
        <v>4</v>
      </c>
      <c r="G10" s="113">
        <v>5</v>
      </c>
      <c r="H10" s="113">
        <v>6</v>
      </c>
      <c r="I10" s="113">
        <v>7</v>
      </c>
      <c r="J10" s="113">
        <v>8</v>
      </c>
      <c r="K10" s="113">
        <v>9</v>
      </c>
      <c r="L10" s="113">
        <v>10</v>
      </c>
      <c r="M10" s="113">
        <v>11</v>
      </c>
    </row>
    <row r="11" spans="2:57" ht="15" customHeight="1">
      <c r="B11" s="99" t="s">
        <v>90</v>
      </c>
      <c r="C11" s="99" t="s">
        <v>142</v>
      </c>
      <c r="D11" s="99" t="s">
        <v>143</v>
      </c>
      <c r="E11" s="99" t="s">
        <v>144</v>
      </c>
      <c r="F11" s="99" t="s">
        <v>145</v>
      </c>
      <c r="G11" s="99" t="s">
        <v>146</v>
      </c>
      <c r="H11" s="99" t="s">
        <v>147</v>
      </c>
      <c r="I11" s="99" t="s">
        <v>148</v>
      </c>
      <c r="J11" s="99" t="s">
        <v>149</v>
      </c>
      <c r="K11" s="99" t="s">
        <v>150</v>
      </c>
      <c r="L11" s="99" t="s">
        <v>151</v>
      </c>
      <c r="M11" s="99" t="s">
        <v>152</v>
      </c>
      <c r="N11" s="121" t="s">
        <v>8</v>
      </c>
    </row>
    <row r="12" spans="2:57" ht="15" hidden="1" customHeight="1">
      <c r="B12" s="5" t="s">
        <v>96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122">
        <f>SUM(C12:M12)</f>
        <v>0</v>
      </c>
    </row>
    <row r="13" spans="2:57" ht="15" hidden="1" customHeight="1">
      <c r="B13" s="5" t="s">
        <v>95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123">
        <f>SUM(C13:M13)</f>
        <v>0</v>
      </c>
    </row>
    <row r="14" spans="2:57" ht="15" hidden="1" customHeight="1">
      <c r="B14" s="5" t="s">
        <v>88</v>
      </c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124">
        <f>SUM(C14:M14)</f>
        <v>0</v>
      </c>
      <c r="O14" s="1"/>
      <c r="R14" s="1"/>
      <c r="S14" s="1"/>
      <c r="T14" s="1"/>
      <c r="U14" s="1"/>
      <c r="V14" s="1"/>
      <c r="AX14"/>
      <c r="AY14"/>
      <c r="AZ14"/>
      <c r="BA14"/>
      <c r="BB14"/>
      <c r="BC14"/>
      <c r="BD14"/>
      <c r="BE14"/>
    </row>
    <row r="15" spans="2:57" ht="15" customHeight="1">
      <c r="B15" s="96" t="s">
        <v>0</v>
      </c>
      <c r="C15" s="120">
        <v>12.2</v>
      </c>
      <c r="D15" s="120">
        <v>75</v>
      </c>
      <c r="E15" s="120">
        <v>14.5</v>
      </c>
      <c r="F15" s="120">
        <v>21.99</v>
      </c>
      <c r="G15" s="120">
        <v>21.99</v>
      </c>
      <c r="H15" s="120">
        <v>16.7</v>
      </c>
      <c r="I15" s="120">
        <v>23.57</v>
      </c>
      <c r="J15" s="120">
        <v>18.989999999999998</v>
      </c>
      <c r="K15" s="120">
        <v>18.57</v>
      </c>
      <c r="L15" s="120">
        <v>21.99</v>
      </c>
      <c r="M15" s="120">
        <v>0.5</v>
      </c>
      <c r="N15" s="1"/>
      <c r="O15" s="3"/>
      <c r="R15" s="3"/>
      <c r="S15" s="3"/>
      <c r="T15" s="3"/>
      <c r="U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X15"/>
      <c r="AY15"/>
      <c r="AZ15"/>
      <c r="BA15"/>
      <c r="BB15"/>
      <c r="BC15"/>
      <c r="BD15"/>
      <c r="BE15"/>
    </row>
    <row r="16" spans="2:57" ht="15" hidden="1" customHeight="1">
      <c r="B16" s="56" t="s">
        <v>70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1"/>
      <c r="O16" s="3"/>
      <c r="Q16" s="2" t="str">
        <f>'1'!E11</f>
        <v>NUEVO</v>
      </c>
      <c r="R16" s="3"/>
      <c r="S16" s="3"/>
      <c r="T16" s="3"/>
      <c r="U16" s="3"/>
      <c r="V16" s="50" t="s">
        <v>54</v>
      </c>
      <c r="W16" s="50" t="s">
        <v>54</v>
      </c>
      <c r="X16" s="87">
        <v>0.6</v>
      </c>
      <c r="Y16" s="87">
        <v>0.4</v>
      </c>
      <c r="Z16" s="3"/>
      <c r="AA16" s="3"/>
      <c r="AB16" s="3"/>
      <c r="AC16" s="3"/>
      <c r="AD16" s="3"/>
      <c r="AE16" s="3"/>
      <c r="AF16" s="3"/>
      <c r="AG16" s="3"/>
      <c r="AX16"/>
      <c r="AY16"/>
      <c r="AZ16"/>
      <c r="BA16"/>
      <c r="BB16"/>
      <c r="BC16"/>
      <c r="BD16"/>
      <c r="BE16"/>
    </row>
    <row r="17" spans="2:58">
      <c r="B17" s="28" t="s">
        <v>1</v>
      </c>
      <c r="C17" s="119">
        <v>100</v>
      </c>
      <c r="D17" s="119">
        <v>40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22">
        <f>SUM(C17:M17)</f>
        <v>140</v>
      </c>
      <c r="O17" s="1"/>
      <c r="Q17" s="1"/>
      <c r="R17" s="1"/>
      <c r="S17" s="1"/>
      <c r="T17" s="1"/>
      <c r="U17" s="7" t="str">
        <f>'1'!R10</f>
        <v>NUEVO</v>
      </c>
      <c r="V17" s="48">
        <f>'1'!S10</f>
        <v>625.5</v>
      </c>
      <c r="W17" s="85">
        <f>'1'!T10</f>
        <v>374.99999999999994</v>
      </c>
      <c r="X17" s="3">
        <f>$X$16*V17</f>
        <v>375.3</v>
      </c>
      <c r="AX17"/>
      <c r="AY17"/>
      <c r="AZ17"/>
      <c r="BA17"/>
      <c r="BB17"/>
      <c r="BC17"/>
      <c r="BD17"/>
      <c r="BE17"/>
    </row>
    <row r="18" spans="2:58">
      <c r="B18" s="17" t="s">
        <v>2</v>
      </c>
      <c r="C18" s="18">
        <f>C15*C17</f>
        <v>1220</v>
      </c>
      <c r="D18" s="18">
        <f>D15*D17</f>
        <v>3000</v>
      </c>
      <c r="E18" s="18">
        <f t="shared" ref="E18:I18" si="0">E15*E17</f>
        <v>0</v>
      </c>
      <c r="F18" s="18">
        <f t="shared" si="0"/>
        <v>0</v>
      </c>
      <c r="G18" s="18">
        <f t="shared" si="0"/>
        <v>0</v>
      </c>
      <c r="H18" s="18">
        <f t="shared" si="0"/>
        <v>0</v>
      </c>
      <c r="I18" s="18">
        <f t="shared" si="0"/>
        <v>0</v>
      </c>
      <c r="J18" s="18">
        <f t="shared" ref="J18:K18" si="1">J15*J17</f>
        <v>0</v>
      </c>
      <c r="K18" s="18">
        <f t="shared" si="1"/>
        <v>0</v>
      </c>
      <c r="L18" s="18">
        <f t="shared" ref="L18:M18" si="2">L15*L17</f>
        <v>0</v>
      </c>
      <c r="M18" s="18">
        <f t="shared" si="2"/>
        <v>0</v>
      </c>
      <c r="N18" s="18">
        <f>SUM(C18:M18)</f>
        <v>4220</v>
      </c>
      <c r="O18" s="1"/>
      <c r="T18" s="1"/>
      <c r="U18" s="7" t="str">
        <f>'1'!R11</f>
        <v>ANTIGUO</v>
      </c>
      <c r="V18" s="48">
        <f>'1'!S11</f>
        <v>583.80000000000007</v>
      </c>
      <c r="W18" s="85">
        <f>'1'!T11</f>
        <v>350</v>
      </c>
      <c r="X18" s="3">
        <f t="shared" ref="X18" si="3">$X$16*V18</f>
        <v>350.28000000000003</v>
      </c>
      <c r="AX18"/>
      <c r="AY18"/>
      <c r="AZ18"/>
      <c r="BA18"/>
      <c r="BB18"/>
      <c r="BC18"/>
      <c r="BD18"/>
      <c r="BE18"/>
    </row>
    <row r="19" spans="2:58" ht="16.5" hidden="1" customHeight="1">
      <c r="B19" s="58" t="s">
        <v>2</v>
      </c>
      <c r="C19" s="59">
        <f>(MAX(C15:C16))*C17</f>
        <v>1220</v>
      </c>
      <c r="D19" s="59">
        <f>(MAX(D15:D16))*D17</f>
        <v>3000</v>
      </c>
      <c r="E19" s="59">
        <f t="shared" ref="E19:I19" si="4">(MAX(E15:E16))*E17</f>
        <v>0</v>
      </c>
      <c r="F19" s="59">
        <f t="shared" si="4"/>
        <v>0</v>
      </c>
      <c r="G19" s="59">
        <f t="shared" si="4"/>
        <v>0</v>
      </c>
      <c r="H19" s="59">
        <f t="shared" si="4"/>
        <v>0</v>
      </c>
      <c r="I19" s="59">
        <f t="shared" si="4"/>
        <v>0</v>
      </c>
      <c r="J19" s="59">
        <f t="shared" ref="J19:K19" si="5">(MAX(J15:J16))*J17</f>
        <v>0</v>
      </c>
      <c r="K19" s="59">
        <f t="shared" si="5"/>
        <v>0</v>
      </c>
      <c r="L19" s="59">
        <f t="shared" ref="L19:M19" si="6">(MAX(L15:L16))*L17</f>
        <v>0</v>
      </c>
      <c r="M19" s="59">
        <f t="shared" si="6"/>
        <v>0</v>
      </c>
      <c r="N19" s="59">
        <f>SUM(C19:M19)</f>
        <v>4220</v>
      </c>
      <c r="O19" s="1"/>
      <c r="T19" s="1"/>
      <c r="U19" s="7" t="str">
        <f>'1'!R12</f>
        <v>MANUAL</v>
      </c>
      <c r="V19" s="48">
        <f>'1'!S12</f>
        <v>685</v>
      </c>
      <c r="W19" s="85">
        <f>'1'!T12</f>
        <v>410.67146282973619</v>
      </c>
      <c r="X19" s="3">
        <f>$X$16*V19</f>
        <v>411</v>
      </c>
      <c r="AX19"/>
      <c r="AY19"/>
      <c r="AZ19"/>
      <c r="BA19"/>
      <c r="BB19"/>
      <c r="BC19"/>
      <c r="BD19"/>
      <c r="BE19"/>
    </row>
    <row r="20" spans="2:58" ht="15" customHeight="1">
      <c r="B20" s="5" t="s">
        <v>3</v>
      </c>
      <c r="C20" s="8">
        <f t="shared" ref="C20:M20" si="7">C18/$N$18</f>
        <v>0.2890995260663507</v>
      </c>
      <c r="D20" s="8">
        <f t="shared" si="7"/>
        <v>0.7109004739336493</v>
      </c>
      <c r="E20" s="8">
        <f t="shared" si="7"/>
        <v>0</v>
      </c>
      <c r="F20" s="8">
        <f t="shared" si="7"/>
        <v>0</v>
      </c>
      <c r="G20" s="8">
        <f t="shared" si="7"/>
        <v>0</v>
      </c>
      <c r="H20" s="8">
        <f t="shared" si="7"/>
        <v>0</v>
      </c>
      <c r="I20" s="8">
        <f t="shared" si="7"/>
        <v>0</v>
      </c>
      <c r="J20" s="8">
        <f t="shared" si="7"/>
        <v>0</v>
      </c>
      <c r="K20" s="8">
        <f t="shared" si="7"/>
        <v>0</v>
      </c>
      <c r="L20" s="8">
        <f t="shared" si="7"/>
        <v>0</v>
      </c>
      <c r="M20" s="8">
        <f t="shared" si="7"/>
        <v>0</v>
      </c>
      <c r="N20" s="7" t="s">
        <v>8</v>
      </c>
      <c r="O20" s="30"/>
      <c r="T20" s="1"/>
      <c r="U20" s="7" t="str">
        <f>'1'!R13</f>
        <v>SOCIO</v>
      </c>
      <c r="V20" s="48">
        <f>'1'!S13</f>
        <v>417.00000000000006</v>
      </c>
      <c r="W20" s="85">
        <f>'1'!T13</f>
        <v>250</v>
      </c>
      <c r="X20" s="3">
        <f>$X$16*V20</f>
        <v>250.20000000000002</v>
      </c>
      <c r="AX20"/>
      <c r="AY20"/>
      <c r="AZ20"/>
      <c r="BA20"/>
      <c r="BB20"/>
      <c r="BC20"/>
      <c r="BD20"/>
      <c r="BE20"/>
    </row>
    <row r="21" spans="2:58">
      <c r="B21" s="28" t="s">
        <v>4</v>
      </c>
      <c r="C21" s="6">
        <f t="shared" ref="C21:M21" si="8">$N$21*C20</f>
        <v>118.81990521327013</v>
      </c>
      <c r="D21" s="6">
        <f t="shared" si="8"/>
        <v>292.18009478672985</v>
      </c>
      <c r="E21" s="6">
        <f t="shared" si="8"/>
        <v>0</v>
      </c>
      <c r="F21" s="6">
        <f t="shared" si="8"/>
        <v>0</v>
      </c>
      <c r="G21" s="6">
        <f t="shared" si="8"/>
        <v>0</v>
      </c>
      <c r="H21" s="6">
        <f t="shared" si="8"/>
        <v>0</v>
      </c>
      <c r="I21" s="6">
        <f t="shared" si="8"/>
        <v>0</v>
      </c>
      <c r="J21" s="6">
        <f t="shared" si="8"/>
        <v>0</v>
      </c>
      <c r="K21" s="6">
        <f t="shared" si="8"/>
        <v>0</v>
      </c>
      <c r="L21" s="6">
        <f t="shared" si="8"/>
        <v>0</v>
      </c>
      <c r="M21" s="6">
        <f t="shared" si="8"/>
        <v>0</v>
      </c>
      <c r="N21" s="29">
        <f>IF(V19=0,IF('1'!E11="NUEVO",'2'!V17*60%,IF('1'!E11="ANTIGUO",'2'!V18*60%,IF('1'!E11="SOCIO",60%*(250*'1'!I11),IF('1'!E11="PILOTO",60%*(250*'1'!I11),IF('2'!V19&gt;0,60%*(250*'1'!I11),IF('1'!E11="MANUAL",60%*(IF('1'!T12&gt;250,('1'!T12*'1'!I11),IF('1'!T12&lt;=250,(250*'1'!I11)))))))))),IF(W19&lt;=250,(250*'1'!I11)*60%,V19*60%))</f>
        <v>411</v>
      </c>
      <c r="O21" s="87"/>
      <c r="P21" s="183"/>
      <c r="Q21" s="49"/>
      <c r="R21" s="1"/>
      <c r="S21" s="1"/>
      <c r="T21" s="1"/>
      <c r="U21" s="7" t="str">
        <f>'1'!R14</f>
        <v>PILOTO</v>
      </c>
      <c r="V21" s="48">
        <f>'1'!S14</f>
        <v>417.00000000000006</v>
      </c>
      <c r="W21" s="85">
        <f>'1'!T14</f>
        <v>250</v>
      </c>
      <c r="X21" s="3">
        <f>$X$16*V21</f>
        <v>250.20000000000002</v>
      </c>
      <c r="AX21"/>
      <c r="AY21"/>
      <c r="AZ21"/>
      <c r="BA21"/>
      <c r="BB21"/>
      <c r="BC21"/>
      <c r="BD21"/>
      <c r="BE21"/>
    </row>
    <row r="22" spans="2:58">
      <c r="B22" s="17" t="s">
        <v>5</v>
      </c>
      <c r="C22" s="18">
        <f>C18+C21</f>
        <v>1338.8199052132702</v>
      </c>
      <c r="D22" s="18">
        <f t="shared" ref="D22:I22" si="9">D18+D21</f>
        <v>3292.18009478673</v>
      </c>
      <c r="E22" s="18">
        <f t="shared" si="9"/>
        <v>0</v>
      </c>
      <c r="F22" s="18">
        <f t="shared" si="9"/>
        <v>0</v>
      </c>
      <c r="G22" s="18">
        <f t="shared" si="9"/>
        <v>0</v>
      </c>
      <c r="H22" s="18">
        <f t="shared" si="9"/>
        <v>0</v>
      </c>
      <c r="I22" s="18">
        <f t="shared" si="9"/>
        <v>0</v>
      </c>
      <c r="J22" s="18">
        <f t="shared" ref="J22:K22" si="10">J18+J21</f>
        <v>0</v>
      </c>
      <c r="K22" s="18">
        <f t="shared" si="10"/>
        <v>0</v>
      </c>
      <c r="L22" s="18">
        <f t="shared" ref="L22:M22" si="11">L18+L21</f>
        <v>0</v>
      </c>
      <c r="M22" s="18">
        <f t="shared" si="11"/>
        <v>0</v>
      </c>
      <c r="N22" s="18">
        <f>SUM(C22:M23)</f>
        <v>9262</v>
      </c>
      <c r="O22" s="1"/>
      <c r="P22" s="183"/>
      <c r="Q22" s="49"/>
      <c r="R22" s="1"/>
      <c r="S22" s="84" t="s">
        <v>87</v>
      </c>
      <c r="T22" s="84"/>
      <c r="U22" s="50">
        <f>250*60%</f>
        <v>150</v>
      </c>
      <c r="V22" s="50">
        <f>250*40%</f>
        <v>100</v>
      </c>
      <c r="W22" s="85"/>
      <c r="X22" s="3"/>
      <c r="AV22"/>
      <c r="AW22"/>
      <c r="AX22"/>
      <c r="AY22"/>
      <c r="AZ22"/>
      <c r="BA22"/>
      <c r="BB22"/>
      <c r="BC22"/>
      <c r="BD22"/>
      <c r="BE22"/>
    </row>
    <row r="23" spans="2:58" ht="14.25" hidden="1" customHeight="1">
      <c r="B23" s="58" t="s">
        <v>71</v>
      </c>
      <c r="C23" s="59">
        <f>C19+C21</f>
        <v>1338.8199052132702</v>
      </c>
      <c r="D23" s="59">
        <f t="shared" ref="D23:I23" si="12">D19+D21</f>
        <v>3292.18009478673</v>
      </c>
      <c r="E23" s="59">
        <f t="shared" si="12"/>
        <v>0</v>
      </c>
      <c r="F23" s="59">
        <f t="shared" si="12"/>
        <v>0</v>
      </c>
      <c r="G23" s="59">
        <f t="shared" si="12"/>
        <v>0</v>
      </c>
      <c r="H23" s="59">
        <f t="shared" si="12"/>
        <v>0</v>
      </c>
      <c r="I23" s="59">
        <f t="shared" si="12"/>
        <v>0</v>
      </c>
      <c r="J23" s="59">
        <f t="shared" ref="J23:K23" si="13">J19+J21</f>
        <v>0</v>
      </c>
      <c r="K23" s="59">
        <f t="shared" si="13"/>
        <v>0</v>
      </c>
      <c r="L23" s="59">
        <f t="shared" ref="L23:M23" si="14">L19+L21</f>
        <v>0</v>
      </c>
      <c r="M23" s="59">
        <f t="shared" si="14"/>
        <v>0</v>
      </c>
      <c r="N23" s="59">
        <f>SUM(C23:M23)</f>
        <v>4631</v>
      </c>
      <c r="O23" s="1"/>
      <c r="Q23" s="49"/>
      <c r="R23" s="1"/>
      <c r="S23" s="30"/>
      <c r="T23" s="1"/>
      <c r="AX23"/>
      <c r="AY23"/>
      <c r="AZ23"/>
      <c r="BA23"/>
      <c r="BB23"/>
      <c r="BC23"/>
      <c r="BD23"/>
      <c r="BE23"/>
    </row>
    <row r="24" spans="2:58" ht="14.25" customHeight="1">
      <c r="B24" s="28" t="s">
        <v>6</v>
      </c>
      <c r="C24" s="6">
        <f t="shared" ref="C24:M24" si="15">$N$24*C20</f>
        <v>14.454976303317535</v>
      </c>
      <c r="D24" s="6">
        <f t="shared" si="15"/>
        <v>35.545023696682463</v>
      </c>
      <c r="E24" s="6">
        <f t="shared" si="15"/>
        <v>0</v>
      </c>
      <c r="F24" s="6">
        <f t="shared" si="15"/>
        <v>0</v>
      </c>
      <c r="G24" s="6">
        <f t="shared" si="15"/>
        <v>0</v>
      </c>
      <c r="H24" s="6">
        <f t="shared" si="15"/>
        <v>0</v>
      </c>
      <c r="I24" s="6">
        <f t="shared" si="15"/>
        <v>0</v>
      </c>
      <c r="J24" s="6">
        <f t="shared" si="15"/>
        <v>0</v>
      </c>
      <c r="K24" s="6">
        <f t="shared" si="15"/>
        <v>0</v>
      </c>
      <c r="L24" s="6">
        <f t="shared" si="15"/>
        <v>0</v>
      </c>
      <c r="M24" s="6">
        <f t="shared" si="15"/>
        <v>0</v>
      </c>
      <c r="N24" s="29">
        <f>IF(N18&lt;5000,50,100)</f>
        <v>50</v>
      </c>
      <c r="O24" s="1"/>
      <c r="Q24" s="49"/>
      <c r="R24" s="1"/>
      <c r="S24" s="1"/>
      <c r="T24" s="1"/>
      <c r="U24" s="1"/>
      <c r="V24" s="1"/>
      <c r="AX24"/>
      <c r="AY24"/>
      <c r="AZ24"/>
      <c r="BA24"/>
      <c r="BB24"/>
      <c r="BC24"/>
      <c r="BD24"/>
      <c r="BE24"/>
    </row>
    <row r="25" spans="2:58">
      <c r="B25" s="17" t="s">
        <v>7</v>
      </c>
      <c r="C25" s="18">
        <f t="shared" ref="C25:I25" si="16">C22+C24</f>
        <v>1353.2748815165878</v>
      </c>
      <c r="D25" s="18">
        <f t="shared" si="16"/>
        <v>3327.7251184834126</v>
      </c>
      <c r="E25" s="18">
        <f t="shared" si="16"/>
        <v>0</v>
      </c>
      <c r="F25" s="18">
        <f t="shared" si="16"/>
        <v>0</v>
      </c>
      <c r="G25" s="18">
        <f t="shared" si="16"/>
        <v>0</v>
      </c>
      <c r="H25" s="18">
        <f t="shared" si="16"/>
        <v>0</v>
      </c>
      <c r="I25" s="18">
        <f t="shared" si="16"/>
        <v>0</v>
      </c>
      <c r="J25" s="18">
        <f t="shared" ref="J25:K25" si="17">J22+J24</f>
        <v>0</v>
      </c>
      <c r="K25" s="18">
        <f t="shared" si="17"/>
        <v>0</v>
      </c>
      <c r="L25" s="18">
        <f t="shared" ref="L25:M25" si="18">L22+L24</f>
        <v>0</v>
      </c>
      <c r="M25" s="18">
        <f t="shared" si="18"/>
        <v>0</v>
      </c>
      <c r="N25" s="18">
        <f>SUM(C25:M26)</f>
        <v>9362</v>
      </c>
      <c r="O25" s="1"/>
      <c r="Q25" s="49"/>
      <c r="R25" s="1"/>
      <c r="S25" s="1"/>
      <c r="T25" s="1"/>
      <c r="U25" s="1"/>
      <c r="V25" s="1"/>
      <c r="AX25"/>
      <c r="AY25"/>
      <c r="AZ25"/>
      <c r="BA25"/>
      <c r="BB25"/>
      <c r="BC25"/>
      <c r="BD25"/>
      <c r="BE25"/>
    </row>
    <row r="26" spans="2:58" ht="18.75" hidden="1" customHeight="1">
      <c r="B26" s="58" t="s">
        <v>72</v>
      </c>
      <c r="C26" s="59">
        <f>C23+C24</f>
        <v>1353.2748815165878</v>
      </c>
      <c r="D26" s="59">
        <f>D23+D24</f>
        <v>3327.7251184834126</v>
      </c>
      <c r="E26" s="59">
        <f t="shared" ref="E26:I26" si="19">E23+E24</f>
        <v>0</v>
      </c>
      <c r="F26" s="59">
        <f t="shared" si="19"/>
        <v>0</v>
      </c>
      <c r="G26" s="59">
        <f t="shared" si="19"/>
        <v>0</v>
      </c>
      <c r="H26" s="59">
        <f t="shared" si="19"/>
        <v>0</v>
      </c>
      <c r="I26" s="59">
        <f t="shared" si="19"/>
        <v>0</v>
      </c>
      <c r="J26" s="59">
        <f t="shared" ref="J26:K26" si="20">J23+J24</f>
        <v>0</v>
      </c>
      <c r="K26" s="59">
        <f t="shared" si="20"/>
        <v>0</v>
      </c>
      <c r="L26" s="59">
        <f t="shared" ref="L26:M26" si="21">L23+L24</f>
        <v>0</v>
      </c>
      <c r="M26" s="59">
        <f t="shared" si="21"/>
        <v>0</v>
      </c>
      <c r="N26" s="59">
        <f>SUM(C26:M26)</f>
        <v>4681</v>
      </c>
      <c r="Q26" s="49"/>
    </row>
    <row r="27" spans="2:58">
      <c r="Q27" s="49"/>
    </row>
    <row r="28" spans="2:58">
      <c r="B28" s="185" t="s">
        <v>11</v>
      </c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</row>
    <row r="30" spans="2:58"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W30" s="2"/>
      <c r="BF30" s="1"/>
    </row>
    <row r="31" spans="2:58">
      <c r="B31" s="53" t="s">
        <v>40</v>
      </c>
      <c r="C31" s="54">
        <f>C17*C30</f>
        <v>0</v>
      </c>
      <c r="D31" s="54">
        <f t="shared" ref="D31:I31" si="22">D17*D30</f>
        <v>0</v>
      </c>
      <c r="E31" s="54">
        <f t="shared" si="22"/>
        <v>0</v>
      </c>
      <c r="F31" s="54">
        <f t="shared" si="22"/>
        <v>0</v>
      </c>
      <c r="G31" s="54">
        <f t="shared" si="22"/>
        <v>0</v>
      </c>
      <c r="H31" s="54">
        <f t="shared" si="22"/>
        <v>0</v>
      </c>
      <c r="I31" s="54">
        <f t="shared" si="22"/>
        <v>0</v>
      </c>
      <c r="J31" s="54">
        <f t="shared" ref="J31:K31" si="23">J17*J30</f>
        <v>0</v>
      </c>
      <c r="K31" s="54">
        <f t="shared" si="23"/>
        <v>0</v>
      </c>
      <c r="L31" s="54">
        <f t="shared" ref="L31:M31" si="24">L17*L30</f>
        <v>0</v>
      </c>
      <c r="M31" s="54">
        <f t="shared" si="24"/>
        <v>0</v>
      </c>
      <c r="N31" s="54">
        <f>SUM(C31:M31)</f>
        <v>0</v>
      </c>
      <c r="W31" s="2"/>
      <c r="BF31" s="1"/>
    </row>
    <row r="33" spans="1:57">
      <c r="C33" s="11">
        <v>0</v>
      </c>
      <c r="D33" s="11">
        <v>0.06</v>
      </c>
      <c r="E33" s="11">
        <v>0.06</v>
      </c>
      <c r="F33" s="11">
        <v>0.06</v>
      </c>
      <c r="G33" s="11">
        <v>0.06</v>
      </c>
      <c r="H33" s="11">
        <v>0.06</v>
      </c>
      <c r="I33" s="11">
        <v>0.06</v>
      </c>
      <c r="J33" s="11">
        <v>0.06</v>
      </c>
      <c r="K33" s="11">
        <v>0.06</v>
      </c>
      <c r="L33" s="11">
        <v>0.06</v>
      </c>
      <c r="M33" s="11">
        <v>0.06</v>
      </c>
      <c r="N33" s="9" t="s">
        <v>8</v>
      </c>
      <c r="O33" s="1"/>
      <c r="P33" s="1"/>
      <c r="Q33" s="1"/>
      <c r="R33" s="184"/>
      <c r="S33" s="184"/>
      <c r="T33" s="1"/>
      <c r="U33" s="1"/>
      <c r="V33" s="1"/>
      <c r="AX33"/>
      <c r="AY33"/>
      <c r="AZ33"/>
      <c r="BA33"/>
      <c r="BB33"/>
      <c r="BC33"/>
      <c r="BD33"/>
      <c r="BE33"/>
    </row>
    <row r="34" spans="1:57">
      <c r="B34" s="9" t="s">
        <v>9</v>
      </c>
      <c r="C34" s="6">
        <f>MAX(C25:C26)*C33</f>
        <v>0</v>
      </c>
      <c r="D34" s="6">
        <f t="shared" ref="D34:I34" si="25">MAX(D25:D26)*D33</f>
        <v>199.66350710900474</v>
      </c>
      <c r="E34" s="6">
        <f t="shared" si="25"/>
        <v>0</v>
      </c>
      <c r="F34" s="6">
        <f t="shared" si="25"/>
        <v>0</v>
      </c>
      <c r="G34" s="6">
        <f t="shared" si="25"/>
        <v>0</v>
      </c>
      <c r="H34" s="6">
        <f t="shared" si="25"/>
        <v>0</v>
      </c>
      <c r="I34" s="6">
        <f t="shared" si="25"/>
        <v>0</v>
      </c>
      <c r="J34" s="6">
        <f t="shared" ref="J34:K34" si="26">MAX(J25:J26)*J33</f>
        <v>0</v>
      </c>
      <c r="K34" s="6">
        <f t="shared" si="26"/>
        <v>0</v>
      </c>
      <c r="L34" s="6">
        <f t="shared" ref="L34:M34" si="27">MAX(L25:L26)*L33</f>
        <v>0</v>
      </c>
      <c r="M34" s="6">
        <f t="shared" si="27"/>
        <v>0</v>
      </c>
      <c r="N34" s="10">
        <f>SUM(C34:M34)</f>
        <v>199.66350710900474</v>
      </c>
      <c r="O34" s="1"/>
      <c r="P34" s="1"/>
      <c r="Q34" s="1"/>
      <c r="R34" s="184"/>
      <c r="S34" s="184"/>
      <c r="T34" s="1"/>
      <c r="U34" s="1"/>
      <c r="V34" s="1"/>
      <c r="AX34"/>
      <c r="AY34"/>
      <c r="AZ34"/>
      <c r="BA34"/>
      <c r="BB34"/>
      <c r="BC34"/>
      <c r="BD34"/>
      <c r="BE34"/>
    </row>
    <row r="35" spans="1:57" s="14" customFormat="1">
      <c r="A35" s="12"/>
      <c r="B35" s="16" t="s">
        <v>13</v>
      </c>
      <c r="C35" s="13">
        <f>((MAX(C25:C26))+C34)*16%</f>
        <v>216.52398104265404</v>
      </c>
      <c r="D35" s="13">
        <f t="shared" ref="D35:I35" si="28">((MAX(D25:D26))+D34)*16%</f>
        <v>564.3821800947868</v>
      </c>
      <c r="E35" s="13">
        <f t="shared" si="28"/>
        <v>0</v>
      </c>
      <c r="F35" s="13">
        <f t="shared" si="28"/>
        <v>0</v>
      </c>
      <c r="G35" s="13">
        <f t="shared" si="28"/>
        <v>0</v>
      </c>
      <c r="H35" s="13">
        <f t="shared" si="28"/>
        <v>0</v>
      </c>
      <c r="I35" s="13">
        <f t="shared" si="28"/>
        <v>0</v>
      </c>
      <c r="J35" s="13">
        <f t="shared" ref="J35:K35" si="29">((MAX(J25:J26))+J34)*16%</f>
        <v>0</v>
      </c>
      <c r="K35" s="13">
        <f t="shared" si="29"/>
        <v>0</v>
      </c>
      <c r="L35" s="13">
        <f t="shared" ref="L35:M35" si="30">((MAX(L25:L26))+L34)*16%</f>
        <v>0</v>
      </c>
      <c r="M35" s="13">
        <f t="shared" si="30"/>
        <v>0</v>
      </c>
      <c r="N35" s="10">
        <f>SUM(C35:M35)</f>
        <v>780.9061611374409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</row>
    <row r="36" spans="1:57" s="14" customFormat="1">
      <c r="A36" s="12"/>
      <c r="B36" s="16" t="s">
        <v>14</v>
      </c>
      <c r="C36" s="15">
        <f t="shared" ref="C36:I36" si="31">((MAX(C25:C26))+C34)*2%</f>
        <v>27.065497630331755</v>
      </c>
      <c r="D36" s="15">
        <f t="shared" si="31"/>
        <v>70.547772511848351</v>
      </c>
      <c r="E36" s="15">
        <f t="shared" si="31"/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ref="J36:K36" si="32">((MAX(J25:J26))+J34)*2%</f>
        <v>0</v>
      </c>
      <c r="K36" s="15">
        <f t="shared" si="32"/>
        <v>0</v>
      </c>
      <c r="L36" s="15">
        <f t="shared" ref="L36:M36" si="33">((MAX(L25:L26))+L34)*2%</f>
        <v>0</v>
      </c>
      <c r="M36" s="15">
        <f t="shared" si="33"/>
        <v>0</v>
      </c>
      <c r="N36" s="10">
        <f>SUM(C36:M36)</f>
        <v>97.613270142180113</v>
      </c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</row>
    <row r="37" spans="1:57" s="14" customFormat="1">
      <c r="A37" s="12"/>
      <c r="B37" s="16" t="s">
        <v>10</v>
      </c>
      <c r="C37" s="15">
        <f t="shared" ref="C37:I37" si="34">(C25+C34+C35+C36)*3.5%</f>
        <v>55.89025260663508</v>
      </c>
      <c r="D37" s="15">
        <f t="shared" si="34"/>
        <v>145.68115023696686</v>
      </c>
      <c r="E37" s="15">
        <f t="shared" si="34"/>
        <v>0</v>
      </c>
      <c r="F37" s="15">
        <f t="shared" si="34"/>
        <v>0</v>
      </c>
      <c r="G37" s="15">
        <f t="shared" si="34"/>
        <v>0</v>
      </c>
      <c r="H37" s="15">
        <f t="shared" si="34"/>
        <v>0</v>
      </c>
      <c r="I37" s="15">
        <f t="shared" si="34"/>
        <v>0</v>
      </c>
      <c r="J37" s="15">
        <f t="shared" ref="J37:K37" si="35">(J25+J34+J35+J36)*3.5%</f>
        <v>0</v>
      </c>
      <c r="K37" s="15">
        <f t="shared" si="35"/>
        <v>0</v>
      </c>
      <c r="L37" s="15">
        <f t="shared" ref="L37:M37" si="36">(L25+L34+L35+L36)*3.5%</f>
        <v>0</v>
      </c>
      <c r="M37" s="15">
        <f t="shared" si="36"/>
        <v>0</v>
      </c>
      <c r="N37" s="10">
        <f>SUM(C37:M37)</f>
        <v>201.57140284360193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</row>
    <row r="38" spans="1:57">
      <c r="B38" s="19" t="s">
        <v>8</v>
      </c>
      <c r="C38" s="20">
        <f t="shared" ref="C38:I38" si="37">SUM(C34:C37)</f>
        <v>299.47973127962086</v>
      </c>
      <c r="D38" s="20">
        <f t="shared" si="37"/>
        <v>980.27460995260685</v>
      </c>
      <c r="E38" s="20">
        <f t="shared" si="37"/>
        <v>0</v>
      </c>
      <c r="F38" s="20">
        <f t="shared" si="37"/>
        <v>0</v>
      </c>
      <c r="G38" s="20">
        <f t="shared" si="37"/>
        <v>0</v>
      </c>
      <c r="H38" s="20">
        <f t="shared" si="37"/>
        <v>0</v>
      </c>
      <c r="I38" s="20">
        <f t="shared" si="37"/>
        <v>0</v>
      </c>
      <c r="J38" s="20">
        <f t="shared" ref="J38:K38" si="38">SUM(J34:J37)</f>
        <v>0</v>
      </c>
      <c r="K38" s="20">
        <f t="shared" si="38"/>
        <v>0</v>
      </c>
      <c r="L38" s="20">
        <f t="shared" ref="L38:M38" si="39">SUM(L34:L37)</f>
        <v>0</v>
      </c>
      <c r="M38" s="20">
        <f t="shared" si="39"/>
        <v>0</v>
      </c>
      <c r="N38" s="18">
        <f>SUM(C38:M38)</f>
        <v>1279.7543412322277</v>
      </c>
      <c r="O38" s="1"/>
      <c r="P38" s="1"/>
      <c r="Q38" s="1"/>
      <c r="R38" s="1"/>
      <c r="S38" s="1"/>
      <c r="T38" s="1"/>
      <c r="U38" s="1"/>
      <c r="V38" s="1"/>
      <c r="AX38"/>
      <c r="AY38"/>
      <c r="AZ38"/>
      <c r="BA38"/>
      <c r="BB38"/>
      <c r="BC38"/>
      <c r="BD38"/>
      <c r="BE38"/>
    </row>
    <row r="39" spans="1:57">
      <c r="T39" s="1"/>
      <c r="U39" s="3"/>
      <c r="V39" s="1"/>
      <c r="BC39"/>
      <c r="BD39"/>
      <c r="BE39"/>
    </row>
    <row r="40" spans="1:57">
      <c r="Y40" s="24" t="s">
        <v>21</v>
      </c>
      <c r="Z40" s="24">
        <v>3.7</v>
      </c>
    </row>
    <row r="42" spans="1:57">
      <c r="B42" s="182" t="s">
        <v>16</v>
      </c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</row>
    <row r="44" spans="1:57">
      <c r="C44" s="21">
        <f>+C20</f>
        <v>0.2890995260663507</v>
      </c>
      <c r="D44" s="21">
        <f t="shared" ref="D44:I44" si="40">+D20</f>
        <v>0.7109004739336493</v>
      </c>
      <c r="E44" s="21">
        <f t="shared" si="40"/>
        <v>0</v>
      </c>
      <c r="F44" s="21">
        <f t="shared" si="40"/>
        <v>0</v>
      </c>
      <c r="G44" s="21">
        <f t="shared" si="40"/>
        <v>0</v>
      </c>
      <c r="H44" s="21">
        <f t="shared" si="40"/>
        <v>0</v>
      </c>
      <c r="I44" s="21">
        <f t="shared" si="40"/>
        <v>0</v>
      </c>
      <c r="J44" s="21">
        <f t="shared" ref="J44:K44" si="41">+J20</f>
        <v>0</v>
      </c>
      <c r="K44" s="21">
        <f t="shared" si="41"/>
        <v>0</v>
      </c>
      <c r="L44" s="21">
        <f t="shared" ref="L44:M44" si="42">+L20</f>
        <v>0</v>
      </c>
      <c r="M44" s="21">
        <f t="shared" si="42"/>
        <v>0</v>
      </c>
      <c r="N44" s="7" t="s">
        <v>8</v>
      </c>
      <c r="O44" s="1"/>
      <c r="P44" s="1"/>
      <c r="Q44" s="1"/>
      <c r="R44" s="1"/>
      <c r="S44" s="1"/>
      <c r="T44" s="1"/>
      <c r="U44" s="1"/>
      <c r="V44" s="1"/>
      <c r="AX44"/>
      <c r="AY44"/>
      <c r="AZ44"/>
      <c r="BA44"/>
      <c r="BB44"/>
      <c r="BC44"/>
      <c r="BD44"/>
      <c r="BE44"/>
    </row>
    <row r="45" spans="1:57">
      <c r="B45" s="28" t="s">
        <v>15</v>
      </c>
      <c r="C45" s="23">
        <f t="shared" ref="C45:M45" si="43">$N$45*C44</f>
        <v>79.213270142180093</v>
      </c>
      <c r="D45" s="23">
        <f t="shared" si="43"/>
        <v>194.78672985781992</v>
      </c>
      <c r="E45" s="23">
        <f t="shared" si="43"/>
        <v>0</v>
      </c>
      <c r="F45" s="23">
        <f t="shared" si="43"/>
        <v>0</v>
      </c>
      <c r="G45" s="23">
        <f t="shared" si="43"/>
        <v>0</v>
      </c>
      <c r="H45" s="23">
        <f t="shared" si="43"/>
        <v>0</v>
      </c>
      <c r="I45" s="23">
        <f t="shared" si="43"/>
        <v>0</v>
      </c>
      <c r="J45" s="23">
        <f t="shared" si="43"/>
        <v>0</v>
      </c>
      <c r="K45" s="23">
        <f t="shared" si="43"/>
        <v>0</v>
      </c>
      <c r="L45" s="23">
        <f t="shared" si="43"/>
        <v>0</v>
      </c>
      <c r="M45" s="23">
        <f t="shared" si="43"/>
        <v>0</v>
      </c>
      <c r="N45" s="29">
        <f>IF(V19=0,IF('1'!E11="NUEVO",'2'!V17*40%,IF('1'!E11="ANTIGUO",'2'!V18*40%,IF('1'!E11="SOCIO",40%*(250*'1'!I11),IF('1'!E11="PILOTO",40%*(250*'1'!I11),IF('2'!V19&gt;0,40%*(250*'1'!I11),IF('1'!E11="MANUAL",40%*(IF('1'!T12&gt;250,('1'!T12*'1'!I11),IF('1'!T12&lt;=250,(250*'1'!I11)))))))))),IF(W19&lt;=250,(250*'1'!I11)*40%,V19*40%))</f>
        <v>274</v>
      </c>
      <c r="O45" s="87"/>
      <c r="P45" s="1"/>
      <c r="Q45" s="1"/>
      <c r="R45" s="1"/>
      <c r="S45" s="1"/>
      <c r="T45" s="1"/>
      <c r="U45" s="1"/>
      <c r="V45" s="1"/>
      <c r="AX45"/>
      <c r="AY45"/>
      <c r="AZ45"/>
      <c r="BA45"/>
      <c r="BB45"/>
      <c r="BC45"/>
      <c r="BD45"/>
      <c r="BE45"/>
    </row>
    <row r="46" spans="1:57" s="1" customFormat="1"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8" spans="1:57">
      <c r="B48" s="100" t="s">
        <v>17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</row>
    <row r="50" spans="2:57">
      <c r="B50" s="27" t="s">
        <v>15</v>
      </c>
      <c r="C50" s="7" t="str">
        <f t="shared" ref="C50" si="44">C11</f>
        <v>BASE DE LAMPARA LED</v>
      </c>
      <c r="D50" s="7" t="str">
        <f t="shared" ref="D50:I50" si="45">D11</f>
        <v>DISFRAZ LED</v>
      </c>
      <c r="E50" s="7" t="str">
        <f t="shared" si="45"/>
        <v>DISFRAZ ALIEN</v>
      </c>
      <c r="F50" s="7" t="str">
        <f t="shared" si="45"/>
        <v>DISFRAZ DINOSAURIO-1</v>
      </c>
      <c r="G50" s="7" t="str">
        <f t="shared" si="45"/>
        <v>DISFRAZ DINOSAURIO-2</v>
      </c>
      <c r="H50" s="7" t="str">
        <f t="shared" si="45"/>
        <v>DISFRAZ VACA</v>
      </c>
      <c r="I50" s="7" t="str">
        <f t="shared" si="45"/>
        <v>DISFRAZ DINOSAURIO-3</v>
      </c>
      <c r="J50" s="7" t="str">
        <f t="shared" ref="J50:K50" si="46">J11</f>
        <v>DISFRAZ TIBURON</v>
      </c>
      <c r="K50" s="7" t="str">
        <f t="shared" si="46"/>
        <v>DISFRAZ MONO</v>
      </c>
      <c r="L50" s="7" t="str">
        <f t="shared" ref="L50:M50" si="47">L11</f>
        <v>DISFRAZ DINOSAURIO-4</v>
      </c>
      <c r="M50" s="7" t="str">
        <f t="shared" si="47"/>
        <v>PULSERA LED</v>
      </c>
      <c r="O50" s="1"/>
      <c r="P50" s="1"/>
      <c r="Q50" s="1"/>
      <c r="R50" s="1"/>
      <c r="S50" s="1"/>
      <c r="T50" s="1"/>
      <c r="U50" s="1"/>
      <c r="V50" s="1"/>
      <c r="AX50"/>
      <c r="AY50"/>
      <c r="AZ50"/>
      <c r="BA50"/>
      <c r="BB50"/>
      <c r="BC50"/>
      <c r="BD50"/>
      <c r="BE50"/>
    </row>
    <row r="51" spans="2:57">
      <c r="B51" s="28" t="s">
        <v>19</v>
      </c>
      <c r="C51" s="23">
        <f>C18+C38+C31+'2'!C20*('1'!$J$31)</f>
        <v>1533.9347075829385</v>
      </c>
      <c r="D51" s="23">
        <f>D18+D38+D31+'2'!D20*('1'!$J$31)</f>
        <v>4015.8196336492892</v>
      </c>
      <c r="E51" s="23">
        <f>E18+E38+E31+'2'!E20*('1'!$J$31)</f>
        <v>0</v>
      </c>
      <c r="F51" s="23">
        <f>F18+F38+F31+'2'!F20*('1'!$J$31)</f>
        <v>0</v>
      </c>
      <c r="G51" s="23">
        <f>G18+G38+G31+'2'!G20*('1'!$J$31)</f>
        <v>0</v>
      </c>
      <c r="H51" s="23">
        <f>H18+H38+H31+'2'!H20*('1'!$J$31)</f>
        <v>0</v>
      </c>
      <c r="I51" s="23">
        <f>I18+I38+I31+'2'!I20*('1'!$J$31)</f>
        <v>0</v>
      </c>
      <c r="J51" s="23">
        <f>J18+J38+J31+'2'!J20*('1'!$J$31)</f>
        <v>0</v>
      </c>
      <c r="K51" s="23">
        <f>K18+K38+K31+'2'!K20*('1'!$J$31)</f>
        <v>0</v>
      </c>
      <c r="L51" s="23">
        <f>L18+L38+L31+'2'!L20*('1'!$J$31)</f>
        <v>0</v>
      </c>
      <c r="M51" s="23">
        <f>M18+M38+M31+'2'!M20*('1'!$J$31)</f>
        <v>0</v>
      </c>
      <c r="N51" s="23">
        <f>SUM(C51:M51)</f>
        <v>5549.7543412322275</v>
      </c>
      <c r="O51" s="1"/>
      <c r="P51" s="1"/>
      <c r="Q51" s="1"/>
      <c r="R51" s="1"/>
      <c r="S51" s="1"/>
      <c r="T51" s="1"/>
      <c r="U51" s="1"/>
      <c r="V51" s="1"/>
      <c r="AX51"/>
      <c r="AY51"/>
      <c r="AZ51"/>
      <c r="BA51"/>
      <c r="BB51"/>
      <c r="BC51"/>
      <c r="BD51"/>
      <c r="BE51"/>
    </row>
    <row r="52" spans="2:57">
      <c r="B52" s="5" t="s">
        <v>1</v>
      </c>
      <c r="C52" s="25">
        <f>+C17</f>
        <v>100</v>
      </c>
      <c r="D52" s="25">
        <f t="shared" ref="D52:I52" si="48">+D17</f>
        <v>40</v>
      </c>
      <c r="E52" s="25">
        <f t="shared" si="48"/>
        <v>0</v>
      </c>
      <c r="F52" s="25">
        <f t="shared" si="48"/>
        <v>0</v>
      </c>
      <c r="G52" s="25">
        <f t="shared" si="48"/>
        <v>0</v>
      </c>
      <c r="H52" s="25">
        <f t="shared" si="48"/>
        <v>0</v>
      </c>
      <c r="I52" s="25">
        <f t="shared" si="48"/>
        <v>0</v>
      </c>
      <c r="J52" s="25">
        <f t="shared" ref="J52:K52" si="49">+J17</f>
        <v>0</v>
      </c>
      <c r="K52" s="25">
        <f t="shared" si="49"/>
        <v>0</v>
      </c>
      <c r="L52" s="25">
        <f t="shared" ref="L52:M52" si="50">+L17</f>
        <v>0</v>
      </c>
      <c r="M52" s="25">
        <f t="shared" si="50"/>
        <v>0</v>
      </c>
      <c r="O52" s="1"/>
      <c r="P52" s="1"/>
      <c r="Q52" s="1"/>
      <c r="R52" s="1"/>
      <c r="S52" s="1"/>
      <c r="T52" s="1"/>
      <c r="U52" s="1"/>
      <c r="V52" s="1"/>
      <c r="AX52"/>
      <c r="AY52"/>
      <c r="AZ52"/>
      <c r="BA52"/>
      <c r="BB52"/>
      <c r="BC52"/>
      <c r="BD52"/>
      <c r="BE52"/>
    </row>
    <row r="53" spans="2:57">
      <c r="B53" s="22" t="s">
        <v>18</v>
      </c>
      <c r="C53" s="23">
        <f t="shared" ref="C53:I53" si="51">C51/C52</f>
        <v>15.339347075829386</v>
      </c>
      <c r="D53" s="23">
        <f t="shared" si="51"/>
        <v>100.39549084123223</v>
      </c>
      <c r="E53" s="23" t="e">
        <f t="shared" si="51"/>
        <v>#DIV/0!</v>
      </c>
      <c r="F53" s="23" t="e">
        <f t="shared" si="51"/>
        <v>#DIV/0!</v>
      </c>
      <c r="G53" s="23" t="e">
        <f t="shared" si="51"/>
        <v>#DIV/0!</v>
      </c>
      <c r="H53" s="23" t="e">
        <f t="shared" si="51"/>
        <v>#DIV/0!</v>
      </c>
      <c r="I53" s="23" t="e">
        <f t="shared" si="51"/>
        <v>#DIV/0!</v>
      </c>
      <c r="J53" s="23" t="e">
        <f t="shared" ref="J53:K53" si="52">J51/J52</f>
        <v>#DIV/0!</v>
      </c>
      <c r="K53" s="23" t="e">
        <f t="shared" si="52"/>
        <v>#DIV/0!</v>
      </c>
      <c r="L53" s="23" t="e">
        <f t="shared" ref="L53:M53" si="53">L51/L52</f>
        <v>#DIV/0!</v>
      </c>
      <c r="M53" s="23" t="e">
        <f t="shared" si="53"/>
        <v>#DIV/0!</v>
      </c>
      <c r="O53" s="1"/>
      <c r="P53" s="1"/>
      <c r="Q53" s="1"/>
      <c r="R53" s="1"/>
      <c r="S53" s="1"/>
      <c r="T53" s="1"/>
      <c r="U53" s="1"/>
      <c r="V53" s="1"/>
      <c r="AX53"/>
      <c r="AY53"/>
      <c r="AZ53"/>
      <c r="BA53"/>
      <c r="BB53"/>
      <c r="BC53"/>
      <c r="BD53"/>
      <c r="BE53"/>
    </row>
    <row r="54" spans="2:57">
      <c r="B54" s="5" t="s">
        <v>20</v>
      </c>
      <c r="C54" s="26">
        <f t="shared" ref="C54:M54" si="54">C53*$Z$40</f>
        <v>56.755584180568732</v>
      </c>
      <c r="D54" s="26">
        <f t="shared" si="54"/>
        <v>371.46331611255926</v>
      </c>
      <c r="E54" s="26" t="e">
        <f t="shared" si="54"/>
        <v>#DIV/0!</v>
      </c>
      <c r="F54" s="26" t="e">
        <f t="shared" si="54"/>
        <v>#DIV/0!</v>
      </c>
      <c r="G54" s="26" t="e">
        <f t="shared" si="54"/>
        <v>#DIV/0!</v>
      </c>
      <c r="H54" s="26" t="e">
        <f t="shared" si="54"/>
        <v>#DIV/0!</v>
      </c>
      <c r="I54" s="26" t="e">
        <f t="shared" si="54"/>
        <v>#DIV/0!</v>
      </c>
      <c r="J54" s="26" t="e">
        <f t="shared" si="54"/>
        <v>#DIV/0!</v>
      </c>
      <c r="K54" s="26" t="e">
        <f t="shared" si="54"/>
        <v>#DIV/0!</v>
      </c>
      <c r="L54" s="26" t="e">
        <f t="shared" si="54"/>
        <v>#DIV/0!</v>
      </c>
      <c r="M54" s="26" t="e">
        <f t="shared" si="54"/>
        <v>#DIV/0!</v>
      </c>
      <c r="O54" s="1"/>
      <c r="P54" s="1"/>
      <c r="Q54" s="1"/>
      <c r="R54" s="1"/>
      <c r="S54" s="1"/>
      <c r="T54" s="1"/>
      <c r="U54" s="1"/>
      <c r="V54" s="1"/>
      <c r="AX54"/>
      <c r="AY54"/>
      <c r="AZ54"/>
      <c r="BA54"/>
      <c r="BB54"/>
      <c r="BC54"/>
      <c r="BD54"/>
      <c r="BE54"/>
    </row>
  </sheetData>
  <mergeCells count="9">
    <mergeCell ref="B1:V1"/>
    <mergeCell ref="B42:V42"/>
    <mergeCell ref="P21:P22"/>
    <mergeCell ref="R33:S34"/>
    <mergeCell ref="B28:V28"/>
    <mergeCell ref="D4:M4"/>
    <mergeCell ref="D5:M5"/>
    <mergeCell ref="D6:M6"/>
    <mergeCell ref="D8:M8"/>
  </mergeCells>
  <phoneticPr fontId="19" type="noConversion"/>
  <pageMargins left="0.7" right="0.7" top="0.75" bottom="0.75" header="0.3" footer="0.3"/>
  <pageSetup orientation="portrait" r:id="rId1"/>
  <cellWatches>
    <cellWatch r="N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u202412824 (Torres Cuya, Francis Cristofer)</cp:lastModifiedBy>
  <cp:lastPrinted>2025-10-13T20:11:36Z</cp:lastPrinted>
  <dcterms:created xsi:type="dcterms:W3CDTF">2022-02-19T20:43:21Z</dcterms:created>
  <dcterms:modified xsi:type="dcterms:W3CDTF">2026-01-20T13:30:32Z</dcterms:modified>
</cp:coreProperties>
</file>