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royectos\Probusiness\intranet_back\public\assets\templates\"/>
    </mc:Choice>
  </mc:AlternateContent>
  <xr:revisionPtr revIDLastSave="0" documentId="13_ncr:1_{259B0165-3802-4A77-BCA9-2B2EBCEB6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2" r:id="rId1"/>
    <sheet name="2" sheetId="1" r:id="rId2"/>
  </sheets>
  <definedNames>
    <definedName name="_xlnm.Print_Area" localSheetId="0">'1'!$A$1:$M$114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3" i="2" l="1"/>
  <c r="K37" i="2" s="1"/>
  <c r="K40" i="2" s="1"/>
  <c r="G49" i="2" l="1"/>
  <c r="D46" i="1"/>
  <c r="E46" i="1"/>
  <c r="C13" i="1" l="1"/>
  <c r="D13" i="1"/>
  <c r="E13" i="1"/>
  <c r="F9" i="1"/>
  <c r="J11" i="2" s="1"/>
  <c r="E14" i="1"/>
  <c r="E44" i="1"/>
  <c r="F9" i="2"/>
  <c r="C49" i="2"/>
  <c r="D44" i="1"/>
  <c r="F12" i="1"/>
  <c r="F8" i="1"/>
  <c r="J9" i="2" s="1"/>
  <c r="F7" i="1"/>
  <c r="J8" i="2" s="1"/>
  <c r="C14" i="1"/>
  <c r="D14" i="1"/>
  <c r="J20" i="2"/>
  <c r="C46" i="1"/>
  <c r="F49" i="2" s="1"/>
  <c r="C44" i="1"/>
  <c r="J22" i="1" l="1"/>
  <c r="K22" i="1" s="1"/>
  <c r="F13" i="1"/>
  <c r="F14" i="1"/>
  <c r="F50" i="2"/>
  <c r="F19" i="1" l="1"/>
  <c r="K14" i="2"/>
  <c r="K25" i="1"/>
  <c r="F39" i="1" s="1"/>
  <c r="J25" i="1"/>
  <c r="F16" i="1" s="1"/>
  <c r="K16" i="2" s="1"/>
  <c r="C15" i="1"/>
  <c r="D15" i="1"/>
  <c r="E15" i="1"/>
  <c r="C38" i="1"/>
  <c r="E38" i="1"/>
  <c r="D38" i="1"/>
  <c r="D19" i="1"/>
  <c r="K17" i="2" l="1"/>
  <c r="C39" i="1"/>
  <c r="C19" i="1"/>
  <c r="E19" i="1"/>
  <c r="D16" i="1" l="1"/>
  <c r="E16" i="1"/>
  <c r="C16" i="1"/>
  <c r="E39" i="1"/>
  <c r="D39" i="1"/>
  <c r="E17" i="1" l="1"/>
  <c r="E18" i="1"/>
  <c r="D17" i="1"/>
  <c r="D18" i="1"/>
  <c r="C17" i="1"/>
  <c r="C18" i="1"/>
  <c r="D20" i="1" l="1"/>
  <c r="D27" i="1" s="1"/>
  <c r="D28" i="1" s="1"/>
  <c r="E20" i="1"/>
  <c r="E27" i="1" s="1"/>
  <c r="F18" i="1"/>
  <c r="C21" i="1"/>
  <c r="F21" i="1" s="1"/>
  <c r="C20" i="1"/>
  <c r="F17" i="1"/>
  <c r="C27" i="1" l="1"/>
  <c r="F20" i="1"/>
  <c r="D30" i="1"/>
  <c r="D29" i="1"/>
  <c r="E29" i="1"/>
  <c r="E30" i="1"/>
  <c r="E31" i="1" l="1"/>
  <c r="E32" i="1" s="1"/>
  <c r="D31" i="1"/>
  <c r="D32" i="1" s="1"/>
  <c r="F27" i="1"/>
  <c r="K20" i="2" s="1"/>
  <c r="C30" i="1"/>
  <c r="F30" i="1" s="1"/>
  <c r="K23" i="2" s="1"/>
  <c r="C29" i="1"/>
  <c r="D45" i="1" l="1"/>
  <c r="D47" i="1" s="1"/>
  <c r="E45" i="1"/>
  <c r="E47" i="1" s="1"/>
  <c r="F29" i="1"/>
  <c r="C31" i="1"/>
  <c r="K22" i="2" l="1"/>
  <c r="K24" i="2" s="1"/>
  <c r="E48" i="1"/>
  <c r="D48" i="1"/>
  <c r="F31" i="1"/>
  <c r="K26" i="2" s="1"/>
  <c r="C32" i="1"/>
  <c r="C45" i="1" s="1"/>
  <c r="K27" i="2" l="1"/>
  <c r="K41" i="2" s="1"/>
  <c r="K45" i="2" s="1"/>
  <c r="F32" i="1"/>
  <c r="F45" i="1" l="1"/>
  <c r="C47" i="1"/>
  <c r="C48" i="1" s="1"/>
  <c r="I49" i="2" l="1"/>
  <c r="J49" i="2" l="1"/>
  <c r="J50" i="2" s="1"/>
  <c r="K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9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&gt;$5000 
</t>
        </r>
        <r>
          <rPr>
            <sz val="9"/>
            <color rgb="FF000000"/>
            <rFont val="Tahoma"/>
            <family val="2"/>
          </rPr>
          <t>Seguro 100</t>
        </r>
      </text>
    </comment>
  </commentList>
</comments>
</file>

<file path=xl/sharedStrings.xml><?xml version="1.0" encoding="utf-8"?>
<sst xmlns="http://schemas.openxmlformats.org/spreadsheetml/2006/main" count="193" uniqueCount="136">
  <si>
    <t>VALOR UNITARIO</t>
  </si>
  <si>
    <t>CANTIDAD</t>
  </si>
  <si>
    <t>VALOR FOB</t>
  </si>
  <si>
    <t>DISTRIBUCIÓN %</t>
  </si>
  <si>
    <t>FLETE</t>
  </si>
  <si>
    <t>VALOR CFR</t>
  </si>
  <si>
    <t>SEGURO</t>
  </si>
  <si>
    <t>VALOR CIF</t>
  </si>
  <si>
    <t>TOTAL</t>
  </si>
  <si>
    <t>AD VALOREM</t>
  </si>
  <si>
    <t>PERCEPCIÓN 3.5%</t>
  </si>
  <si>
    <t>TRIBUTOS APLICABLES</t>
  </si>
  <si>
    <t>CALCULOS DE TRIBUTOS</t>
  </si>
  <si>
    <t>IGV       16%</t>
  </si>
  <si>
    <t>IPM       2%</t>
  </si>
  <si>
    <t>ITEM</t>
  </si>
  <si>
    <t>COSTOS DESTINOS</t>
  </si>
  <si>
    <t>COSTO TOTAL DE IMPORTACIÓN</t>
  </si>
  <si>
    <t>COSTO UNITARIO</t>
  </si>
  <si>
    <t>COSTO TOTAL</t>
  </si>
  <si>
    <t>COSTO SOLES</t>
  </si>
  <si>
    <t>CLIENTE:</t>
  </si>
  <si>
    <t>DNI/RUC:</t>
  </si>
  <si>
    <t>TELEFONO:</t>
  </si>
  <si>
    <t>SERVICIO:</t>
  </si>
  <si>
    <t>CARGA CONSOLIDADA</t>
  </si>
  <si>
    <t>ORIGEN:</t>
  </si>
  <si>
    <t>CHINA</t>
  </si>
  <si>
    <t>VOLUMEN:</t>
  </si>
  <si>
    <t>PESO:</t>
  </si>
  <si>
    <t>N° CAJAS:</t>
  </si>
  <si>
    <t>CALCULO DE BASE IMPONIBLE</t>
  </si>
  <si>
    <t>FLETE INTERNACIONAL + SEGURO</t>
  </si>
  <si>
    <t>MONEDA</t>
  </si>
  <si>
    <t>MONTO</t>
  </si>
  <si>
    <t>USD</t>
  </si>
  <si>
    <t>VALOR DE CARGA</t>
  </si>
  <si>
    <t>ADVALOREM</t>
  </si>
  <si>
    <t>IGV</t>
  </si>
  <si>
    <t>IPM</t>
  </si>
  <si>
    <t>PERCEPCIÓN</t>
  </si>
  <si>
    <t>%</t>
  </si>
  <si>
    <t>SUB TOTAL</t>
  </si>
  <si>
    <t>IMPUESTOS</t>
  </si>
  <si>
    <t>TÉRMINOS Y CONDICIONES:</t>
  </si>
  <si>
    <t># ITEM</t>
  </si>
  <si>
    <t xml:space="preserve">1. Todos los pagos se realizan en dólares. </t>
  </si>
  <si>
    <t>3. No somos responsables de retraso del proveedor para entregar la carga.</t>
  </si>
  <si>
    <t>5.Los pagos realizados fuera de fecha están sujetos a un recargo de S/.30 por día.</t>
  </si>
  <si>
    <t>9.No hay opción de reembolso.</t>
  </si>
  <si>
    <t>6.Se procederá a cobrar S/.30 x día de almacenaje si el cliente no recoge su pedido en el plazo acordado.</t>
  </si>
  <si>
    <t>se procederá a realizar las acciones legales del caso.</t>
  </si>
  <si>
    <t>de acogerse a un beneficio arancelario (C.O).</t>
  </si>
  <si>
    <t>NOTAS:</t>
  </si>
  <si>
    <t>TARIFA</t>
  </si>
  <si>
    <t xml:space="preserve"> No se aceptan marcas con medidas  de frontera. </t>
  </si>
  <si>
    <t>2.Todas las marcas de los productos deben ser verificadas por el cliente,</t>
  </si>
  <si>
    <t>En caso contrario, asumirá el costo de  almacenaje $30 y será embarcado en la próxima salida.</t>
  </si>
  <si>
    <t>4. La carga deberá llegar al almacén –Yiwu en el rango de fecha indicado por su asesor.</t>
  </si>
  <si>
    <t>7.Los envíos a provincia se realizan a través de la agencia Marvisur o Shalom, con previo pago de flete interno.</t>
  </si>
  <si>
    <t>Costo: desde s/20.00</t>
  </si>
  <si>
    <t>coordinador  logístico la tarifa.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</si>
  <si>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</si>
  <si>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</si>
  <si>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</si>
  <si>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>13.</t>
    </r>
    <r>
      <rPr>
        <sz val="7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Los documentos de importación deber ser entregados a tiempo, de lo contrario, el participante no tendrá opción</t>
    </r>
  </si>
  <si>
    <t xml:space="preserve">14.En caso el cliente esté importando una carga que no sea legal y la empresa Pro Business se vea perjudicada, 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</si>
  <si>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</si>
  <si>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</si>
  <si>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</si>
  <si>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</si>
  <si>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</si>
  <si>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VALOR ZAPATILLAS</t>
  </si>
  <si>
    <t>CFR CALZADO</t>
  </si>
  <si>
    <t>CIF CALZADO</t>
  </si>
  <si>
    <t>3.5%</t>
  </si>
  <si>
    <t>PRECIO U.</t>
  </si>
  <si>
    <t>PRECIO UNIT. (SOLES)</t>
  </si>
  <si>
    <t>NOMBRE PRODUCTO</t>
  </si>
  <si>
    <t>COSTO UNI.</t>
  </si>
  <si>
    <t>APELLIDO:</t>
  </si>
  <si>
    <t>NOMBRE:</t>
  </si>
  <si>
    <t>NUEVO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</si>
  <si>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</si>
  <si>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</si>
  <si>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</si>
  <si>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TOTAL CBM</t>
  </si>
  <si>
    <t>NOMBRE</t>
  </si>
  <si>
    <t>CBM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</si>
  <si>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Las fechas brindadas son estimadas, estan sujetas a variación.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</si>
  <si>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No se emite comprobante por concepto de "PERCEPCIÓN, ANTI DUMPING, GESTIÓN DE COMPRA"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</si>
  <si>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A nosotros se nos pagan los </t>
    </r>
    <r>
      <rPr>
        <b/>
        <sz val="14"/>
        <color theme="1"/>
        <rFont val="Calibri Light"/>
        <family val="2"/>
        <scheme val="major"/>
      </rPr>
      <t>Gastos Logísticos + Impuestos</t>
    </r>
    <r>
      <rPr>
        <sz val="14"/>
        <color theme="1"/>
        <rFont val="Calibri Light"/>
        <family val="2"/>
        <scheme val="major"/>
      </rPr>
      <t xml:space="preserve"> una semana antes de que el contenedor</t>
    </r>
  </si>
  <si>
    <t>llegue al puerto del Callao.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</si>
  <si>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El tipo de cambio referencial usado para la conversión a soles es del 3.70</t>
    </r>
  </si>
  <si>
    <t>PESO (KG)</t>
  </si>
  <si>
    <t>CANTIDAD CAJONES</t>
  </si>
  <si>
    <t>RESUMEN DE COTIZACIÓN</t>
  </si>
  <si>
    <t>MONTO TOTAL</t>
  </si>
  <si>
    <t>CALCULO DE TRIBUTOS</t>
  </si>
  <si>
    <t>SIMULACIÓN DEL PRECIO PUESTO EN PERÚ POR PIEZA</t>
  </si>
  <si>
    <t>FECHA:</t>
  </si>
  <si>
    <t xml:space="preserve">Kids Car Seat Belt Pillow </t>
  </si>
  <si>
    <t>Car Headrest</t>
  </si>
  <si>
    <t>Bluetooth sleep mask</t>
  </si>
  <si>
    <t>Joan Jonathan</t>
  </si>
  <si>
    <t>Rosillo Juarez</t>
  </si>
  <si>
    <t>CLIENTE</t>
  </si>
  <si>
    <t>0.1 - 0.5</t>
  </si>
  <si>
    <t>4.1 +</t>
  </si>
  <si>
    <t>COBRO</t>
  </si>
  <si>
    <t>FLETE (60%)</t>
  </si>
  <si>
    <t>DESTINO (40%)</t>
  </si>
  <si>
    <t>T. CAMBIO</t>
  </si>
  <si>
    <t xml:space="preserve"> 0.6 - 1.0 </t>
  </si>
  <si>
    <t>1.1 - 2.0</t>
  </si>
  <si>
    <t xml:space="preserve">2.1 - 3.0 </t>
  </si>
  <si>
    <t>3.1 - 4.0</t>
  </si>
  <si>
    <t>COTIZACION N002</t>
  </si>
  <si>
    <t>PRO MUNDO COMEX S.A.C.</t>
  </si>
  <si>
    <t xml:space="preserve">       RUC: 20612452432</t>
  </si>
  <si>
    <t xml:space="preserve">         RUC: 20612452432</t>
  </si>
  <si>
    <t>COSTOS FOB</t>
  </si>
  <si>
    <t>ISC</t>
  </si>
  <si>
    <t>CALCULO DE SERVICIO DE IMPORTACIÓN</t>
  </si>
  <si>
    <t>Gravado</t>
  </si>
  <si>
    <t xml:space="preserve">FLETE INTERNACIONAL </t>
  </si>
  <si>
    <t>No gravado</t>
  </si>
  <si>
    <t>COSTOS EN DESTINO</t>
  </si>
  <si>
    <t xml:space="preserve">RECARGOS OPERATIVOS ( QTY PROVEEDORES Y/O ITEMS) </t>
  </si>
  <si>
    <t>DESCUENTO APLICABLE</t>
  </si>
  <si>
    <t xml:space="preserve">SERVICIO DE IMPORTACIÓN  </t>
  </si>
  <si>
    <t>SERVICIO DE MONTACARGA</t>
  </si>
  <si>
    <t>SERVICIO DE ENVIO (ALMACEN-AGENCIA)</t>
  </si>
  <si>
    <t>RECARGOS ADUANEROS (BQ O SANCIONES)</t>
  </si>
  <si>
    <t>QTY PROVEEDORES</t>
  </si>
  <si>
    <t>8. Las cargas mayores a 100 kg x bulto tendrán un costo adicional por manipuleo, consultar con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</si>
</sst>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-[$$-409]* #,##0.00_ ;_-[$$-409]* \-#,##0.00\ ;_-[$$-409]* &quot;-&quot;??_ ;_-@_ "/>
    <numFmt numFmtId="166" formatCode="_-[$$-409]* #,##0.000_ ;_-[$$-409]* \-#,##0.000\ ;_-[$$-409]* &quot;-&quot;??_ ;_-@_ "/>
    <numFmt numFmtId="167" formatCode="[$$-409]#,##0"/>
    <numFmt numFmtId="168" formatCode="_-[$$-540A]* #,##0.00_ ;_-[$$-540A]* \-#,##0.00\ ;_-[$$-540A]* &quot;-&quot;??_ ;_-@_ "/>
    <numFmt numFmtId="169" formatCode="#,##0.000\ &quot;m3&quot;"/>
    <numFmt numFmtId="170" formatCode="0.0\ &quot;kg&quot;"/>
    <numFmt numFmtId="171" formatCode="_-[$S/-280A]\ * #,##0.00_-;\-[$S/-280A]\ * #,##0.00_-;_-[$S/-280A]\ * &quot;-&quot;??_-;_-@_-"/>
    <numFmt numFmtId="172" formatCode="_-[$$-409]* #,##0.0_ ;_-[$$-409]* \-#,##0.0\ ;_-[$$-409]* &quot;-&quot;??_ ;_-@_ "/>
    <numFmt numFmtId="173" formatCode="_-[$$-80A]* #,##0.00_-;\-[$$-80A]* #,##0.00_-;_-[$$-80A]* &quot;-&quot;??_-;_-@_-"/>
    <numFmt numFmtId="174" formatCode="_-[$$-80A]* #,##0.000_-;\-[$$-80A]* #,##0.000_-;_-[$$-80A]* &quot;-&quot;?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8"/>
      <color theme="1"/>
      <name val="Calibri"/>
      <family val="2"/>
      <scheme val="minor"/>
    </font>
    <font>
      <sz val="7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b/>
      <u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20"/>
      <color rgb="FFFF500B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name val="Calibri Light"/>
      <family val="2"/>
      <scheme val="maj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0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009999"/>
      </patternFill>
    </fill>
    <fill>
      <patternFill patternType="solid">
        <fgColor rgb="FFF8CBAD"/>
        <bgColor rgb="FFFFFFFF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5" fontId="0" fillId="2" borderId="0" xfId="0" applyNumberFormat="1" applyFill="1"/>
    <xf numFmtId="165" fontId="0" fillId="2" borderId="0" xfId="0" applyNumberFormat="1" applyFill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165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65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0" fontId="0" fillId="2" borderId="1" xfId="3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165" fontId="0" fillId="4" borderId="1" xfId="0" applyNumberFormat="1" applyFill="1" applyBorder="1" applyAlignment="1">
      <alignment horizontal="center"/>
    </xf>
    <xf numFmtId="9" fontId="0" fillId="2" borderId="0" xfId="0" applyNumberFormat="1" applyFill="1"/>
    <xf numFmtId="0" fontId="8" fillId="2" borderId="0" xfId="0" applyFont="1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3" fillId="2" borderId="0" xfId="0" applyFont="1" applyFill="1"/>
    <xf numFmtId="0" fontId="3" fillId="2" borderId="0" xfId="0" applyFont="1" applyFill="1" applyAlignment="1">
      <alignment horizontal="center"/>
    </xf>
    <xf numFmtId="168" fontId="8" fillId="2" borderId="0" xfId="0" applyNumberFormat="1" applyFont="1" applyFill="1" applyAlignment="1">
      <alignment horizontal="center"/>
    </xf>
    <xf numFmtId="168" fontId="8" fillId="2" borderId="2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/>
    <xf numFmtId="166" fontId="0" fillId="5" borderId="1" xfId="0" applyNumberFormat="1" applyFill="1" applyBorder="1" applyAlignment="1">
      <alignment horizontal="center"/>
    </xf>
    <xf numFmtId="0" fontId="3" fillId="5" borderId="1" xfId="0" applyFont="1" applyFill="1" applyBorder="1"/>
    <xf numFmtId="165" fontId="3" fillId="5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0" fillId="2" borderId="7" xfId="0" applyFont="1" applyFill="1" applyBorder="1"/>
    <xf numFmtId="0" fontId="10" fillId="2" borderId="9" xfId="0" applyFont="1" applyFill="1" applyBorder="1"/>
    <xf numFmtId="0" fontId="10" fillId="2" borderId="11" xfId="0" applyFont="1" applyFill="1" applyBorder="1"/>
    <xf numFmtId="0" fontId="10" fillId="0" borderId="0" xfId="0" applyFont="1"/>
    <xf numFmtId="0" fontId="0" fillId="2" borderId="3" xfId="0" applyFill="1" applyBorder="1" applyAlignment="1">
      <alignment horizontal="center"/>
    </xf>
    <xf numFmtId="165" fontId="0" fillId="2" borderId="5" xfId="0" applyNumberFormat="1" applyFill="1" applyBorder="1"/>
    <xf numFmtId="172" fontId="16" fillId="2" borderId="6" xfId="0" applyNumberFormat="1" applyFont="1" applyFill="1" applyBorder="1"/>
    <xf numFmtId="0" fontId="3" fillId="2" borderId="9" xfId="0" applyFont="1" applyFill="1" applyBorder="1"/>
    <xf numFmtId="0" fontId="0" fillId="2" borderId="1" xfId="0" applyFill="1" applyBorder="1" applyAlignment="1">
      <alignment horizontal="center" vertical="center"/>
    </xf>
    <xf numFmtId="9" fontId="0" fillId="2" borderId="0" xfId="2" applyFont="1" applyFill="1"/>
    <xf numFmtId="0" fontId="7" fillId="6" borderId="0" xfId="0" applyFont="1" applyFill="1" applyAlignment="1">
      <alignment horizontal="center"/>
    </xf>
    <xf numFmtId="0" fontId="19" fillId="2" borderId="0" xfId="0" applyFont="1" applyFill="1"/>
    <xf numFmtId="172" fontId="16" fillId="2" borderId="0" xfId="0" applyNumberFormat="1" applyFont="1" applyFill="1"/>
    <xf numFmtId="0" fontId="0" fillId="4" borderId="13" xfId="0" applyFill="1" applyBorder="1"/>
    <xf numFmtId="166" fontId="0" fillId="2" borderId="13" xfId="0" applyNumberFormat="1" applyFill="1" applyBorder="1" applyAlignment="1">
      <alignment horizontal="center"/>
    </xf>
    <xf numFmtId="169" fontId="8" fillId="2" borderId="1" xfId="0" applyNumberFormat="1" applyFont="1" applyFill="1" applyBorder="1" applyAlignment="1">
      <alignment horizontal="center"/>
    </xf>
    <xf numFmtId="170" fontId="8" fillId="2" borderId="1" xfId="0" applyNumberFormat="1" applyFont="1" applyFill="1" applyBorder="1" applyAlignment="1">
      <alignment horizontal="center"/>
    </xf>
    <xf numFmtId="169" fontId="8" fillId="5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70" fontId="8" fillId="8" borderId="1" xfId="0" applyNumberFormat="1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3" fillId="3" borderId="0" xfId="0" applyFont="1" applyFill="1"/>
    <xf numFmtId="173" fontId="0" fillId="2" borderId="1" xfId="0" applyNumberFormat="1" applyFill="1" applyBorder="1"/>
    <xf numFmtId="169" fontId="0" fillId="2" borderId="1" xfId="0" applyNumberFormat="1" applyFill="1" applyBorder="1" applyAlignment="1">
      <alignment horizontal="center"/>
    </xf>
    <xf numFmtId="174" fontId="0" fillId="2" borderId="1" xfId="0" applyNumberForma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68" fontId="8" fillId="2" borderId="6" xfId="0" applyNumberFormat="1" applyFont="1" applyFill="1" applyBorder="1" applyAlignment="1">
      <alignment horizontal="center"/>
    </xf>
    <xf numFmtId="171" fontId="3" fillId="2" borderId="0" xfId="0" applyNumberFormat="1" applyFont="1" applyFill="1" applyAlignment="1">
      <alignment horizontal="right"/>
    </xf>
    <xf numFmtId="171" fontId="16" fillId="2" borderId="0" xfId="0" applyNumberFormat="1" applyFont="1" applyFill="1" applyAlignment="1">
      <alignment horizontal="left"/>
    </xf>
    <xf numFmtId="171" fontId="8" fillId="2" borderId="0" xfId="0" applyNumberFormat="1" applyFont="1" applyFill="1"/>
    <xf numFmtId="171" fontId="0" fillId="2" borderId="0" xfId="0" applyNumberFormat="1" applyFill="1"/>
    <xf numFmtId="171" fontId="0" fillId="2" borderId="1" xfId="1" applyNumberFormat="1" applyFont="1" applyFill="1" applyBorder="1" applyAlignment="1">
      <alignment horizontal="center"/>
    </xf>
    <xf numFmtId="171" fontId="0" fillId="2" borderId="1" xfId="0" applyNumberFormat="1" applyFill="1" applyBorder="1"/>
    <xf numFmtId="171" fontId="0" fillId="2" borderId="0" xfId="0" applyNumberFormat="1" applyFill="1" applyAlignment="1">
      <alignment horizontal="center"/>
    </xf>
    <xf numFmtId="171" fontId="0" fillId="0" borderId="0" xfId="0" applyNumberFormat="1"/>
    <xf numFmtId="0" fontId="8" fillId="2" borderId="0" xfId="0" applyFont="1" applyFill="1" applyAlignment="1">
      <alignment vertical="center"/>
    </xf>
    <xf numFmtId="0" fontId="0" fillId="2" borderId="9" xfId="0" applyFill="1" applyBorder="1"/>
    <xf numFmtId="0" fontId="12" fillId="2" borderId="10" xfId="0" applyFont="1" applyFill="1" applyBorder="1"/>
    <xf numFmtId="0" fontId="7" fillId="2" borderId="10" xfId="0" applyFont="1" applyFill="1" applyBorder="1" applyAlignment="1">
      <alignment vertical="center"/>
    </xf>
    <xf numFmtId="0" fontId="27" fillId="2" borderId="0" xfId="0" applyFont="1" applyFill="1"/>
    <xf numFmtId="168" fontId="28" fillId="10" borderId="0" xfId="0" applyNumberFormat="1" applyFont="1" applyFill="1" applyAlignment="1">
      <alignment horizontal="center"/>
    </xf>
    <xf numFmtId="0" fontId="28" fillId="10" borderId="0" xfId="0" applyFont="1" applyFill="1" applyAlignment="1">
      <alignment horizontal="center"/>
    </xf>
    <xf numFmtId="0" fontId="28" fillId="10" borderId="0" xfId="0" applyFont="1" applyFill="1"/>
    <xf numFmtId="0" fontId="30" fillId="10" borderId="0" xfId="0" applyFont="1" applyFill="1"/>
    <xf numFmtId="0" fontId="32" fillId="11" borderId="0" xfId="0" applyFont="1" applyFill="1"/>
    <xf numFmtId="0" fontId="32" fillId="7" borderId="0" xfId="0" applyFont="1" applyFill="1"/>
    <xf numFmtId="0" fontId="31" fillId="11" borderId="0" xfId="0" applyFont="1" applyFill="1" applyAlignment="1">
      <alignment horizontal="center"/>
    </xf>
    <xf numFmtId="0" fontId="34" fillId="0" borderId="0" xfId="0" applyFont="1"/>
    <xf numFmtId="0" fontId="30" fillId="10" borderId="0" xfId="0" applyFont="1" applyFill="1" applyAlignment="1">
      <alignment horizontal="center"/>
    </xf>
    <xf numFmtId="168" fontId="30" fillId="10" borderId="0" xfId="0" applyNumberFormat="1" applyFont="1" applyFill="1" applyAlignment="1">
      <alignment horizontal="center"/>
    </xf>
    <xf numFmtId="0" fontId="28" fillId="0" borderId="0" xfId="0" applyFont="1"/>
    <xf numFmtId="0" fontId="28" fillId="0" borderId="2" xfId="0" applyFont="1" applyBorder="1"/>
    <xf numFmtId="0" fontId="34" fillId="0" borderId="2" xfId="0" applyFont="1" applyBorder="1"/>
    <xf numFmtId="0" fontId="30" fillId="10" borderId="2" xfId="0" quotePrefix="1" applyFont="1" applyFill="1" applyBorder="1" applyAlignment="1">
      <alignment horizontal="center"/>
    </xf>
    <xf numFmtId="168" fontId="30" fillId="10" borderId="2" xfId="0" applyNumberFormat="1" applyFont="1" applyFill="1" applyBorder="1" applyAlignment="1">
      <alignment horizontal="center"/>
    </xf>
    <xf numFmtId="0" fontId="30" fillId="10" borderId="2" xfId="0" applyFont="1" applyFill="1" applyBorder="1" applyAlignment="1">
      <alignment horizontal="center"/>
    </xf>
    <xf numFmtId="0" fontId="35" fillId="0" borderId="0" xfId="0" applyFont="1"/>
    <xf numFmtId="0" fontId="30" fillId="10" borderId="0" xfId="0" quotePrefix="1" applyFont="1" applyFill="1" applyAlignment="1">
      <alignment horizontal="center"/>
    </xf>
    <xf numFmtId="168" fontId="36" fillId="10" borderId="2" xfId="0" applyNumberFormat="1" applyFont="1" applyFill="1" applyBorder="1" applyAlignment="1">
      <alignment horizontal="center"/>
    </xf>
    <xf numFmtId="0" fontId="36" fillId="10" borderId="2" xfId="0" applyFont="1" applyFill="1" applyBorder="1" applyAlignment="1">
      <alignment horizontal="center"/>
    </xf>
    <xf numFmtId="0" fontId="30" fillId="0" borderId="0" xfId="0" applyFont="1"/>
    <xf numFmtId="0" fontId="33" fillId="0" borderId="0" xfId="0" applyFont="1" applyAlignment="1">
      <alignment horizontal="center"/>
    </xf>
    <xf numFmtId="168" fontId="0" fillId="0" borderId="0" xfId="0" applyNumberFormat="1"/>
    <xf numFmtId="168" fontId="35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5" fillId="12" borderId="14" xfId="0" applyFont="1" applyFill="1" applyBorder="1"/>
    <xf numFmtId="165" fontId="0" fillId="10" borderId="14" xfId="0" applyNumberFormat="1" applyFill="1" applyBorder="1" applyAlignment="1">
      <alignment horizontal="center"/>
    </xf>
    <xf numFmtId="165" fontId="0" fillId="10" borderId="15" xfId="0" applyNumberFormat="1" applyFill="1" applyBorder="1" applyAlignment="1">
      <alignment horizontal="center"/>
    </xf>
    <xf numFmtId="0" fontId="37" fillId="0" borderId="0" xfId="0" applyFont="1"/>
    <xf numFmtId="168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applyFont="1"/>
    <xf numFmtId="0" fontId="34" fillId="10" borderId="0" xfId="0" applyFont="1" applyFill="1"/>
    <xf numFmtId="0" fontId="38" fillId="7" borderId="0" xfId="0" applyFont="1" applyFill="1" applyAlignment="1">
      <alignment horizontal="left"/>
    </xf>
    <xf numFmtId="0" fontId="38" fillId="7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170" fontId="8" fillId="7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0" borderId="2" xfId="0" applyFont="1" applyBorder="1" applyAlignment="1">
      <alignment horizontal="center"/>
    </xf>
    <xf numFmtId="14" fontId="8" fillId="2" borderId="0" xfId="0" applyNumberFormat="1" applyFont="1" applyFill="1" applyAlignment="1">
      <alignment horizontal="left"/>
    </xf>
    <xf numFmtId="14" fontId="8" fillId="2" borderId="10" xfId="0" applyNumberFormat="1" applyFont="1" applyFill="1" applyBorder="1" applyAlignment="1">
      <alignment horizontal="left"/>
    </xf>
    <xf numFmtId="0" fontId="0" fillId="2" borderId="0" xfId="0" applyFill="1"/>
    <xf numFmtId="0" fontId="0" fillId="2" borderId="10" xfId="0" applyFill="1" applyBorder="1"/>
    <xf numFmtId="0" fontId="8" fillId="2" borderId="6" xfId="0" applyFont="1" applyFill="1" applyBorder="1"/>
    <xf numFmtId="0" fontId="8" fillId="2" borderId="8" xfId="0" applyFont="1" applyFill="1" applyBorder="1"/>
    <xf numFmtId="0" fontId="25" fillId="0" borderId="0" xfId="0" applyFont="1" applyAlignment="1">
      <alignment horizontal="center"/>
    </xf>
    <xf numFmtId="0" fontId="26" fillId="2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171" fontId="39" fillId="7" borderId="1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11" fillId="13" borderId="5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0" applyNumberFormat="1" applyFont="1" applyFill="1" applyAlignment="1">
      <alignment horizontal="center"/>
    </xf>
    <xf numFmtId="0" fontId="20" fillId="2" borderId="0" xfId="0" applyFont="1" applyFill="1"/>
    <xf numFmtId="0" fontId="8" fillId="2" borderId="2" xfId="0" applyFont="1" applyFill="1" applyBorder="1"/>
    <xf numFmtId="0" fontId="8" fillId="2" borderId="12" xfId="0" applyFont="1" applyFill="1" applyBorder="1"/>
    <xf numFmtId="0" fontId="17" fillId="13" borderId="0" xfId="0" applyFont="1" applyFill="1"/>
    <xf numFmtId="0" fontId="8" fillId="2" borderId="0" xfId="0" applyFont="1" applyFill="1" applyAlignment="1">
      <alignment horizontal="left"/>
    </xf>
    <xf numFmtId="0" fontId="10" fillId="2" borderId="6" xfId="0" applyFont="1" applyFill="1" applyBorder="1"/>
    <xf numFmtId="0" fontId="8" fillId="2" borderId="2" xfId="0" applyFont="1" applyFill="1" applyBorder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169" fontId="8" fillId="7" borderId="0" xfId="0" applyNumberFormat="1" applyFont="1" applyFill="1" applyAlignment="1">
      <alignment horizontal="center"/>
    </xf>
    <xf numFmtId="0" fontId="31" fillId="7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6" fillId="2" borderId="0" xfId="0" applyFont="1" applyFill="1" applyAlignment="1">
      <alignment horizontal="center"/>
    </xf>
    <xf numFmtId="0" fontId="31" fillId="11" borderId="0" xfId="0" applyFont="1" applyFill="1" applyAlignment="1">
      <alignment horizontal="left"/>
    </xf>
    <xf numFmtId="0" fontId="31" fillId="7" borderId="0" xfId="0" applyFont="1" applyFill="1"/>
    <xf numFmtId="0" fontId="37" fillId="0" borderId="0" xfId="0" applyFont="1"/>
    <xf numFmtId="0" fontId="34" fillId="0" borderId="0" xfId="0" applyFont="1"/>
    <xf numFmtId="0" fontId="34" fillId="10" borderId="0" xfId="0" applyFont="1" applyFill="1"/>
    <xf numFmtId="0" fontId="10" fillId="2" borderId="2" xfId="0" applyFont="1" applyFill="1" applyBorder="1"/>
    <xf numFmtId="0" fontId="18" fillId="6" borderId="0" xfId="0" applyFont="1" applyFill="1" applyAlignment="1">
      <alignment horizontal="left"/>
    </xf>
    <xf numFmtId="171" fontId="29" fillId="7" borderId="5" xfId="0" applyNumberFormat="1" applyFont="1" applyFill="1" applyBorder="1" applyAlignment="1">
      <alignment horizontal="center"/>
    </xf>
    <xf numFmtId="171" fontId="29" fillId="7" borderId="4" xfId="0" applyNumberFormat="1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13">
    <cellStyle name="Millares" xfId="3" builtinId="3"/>
    <cellStyle name="Moneda" xfId="1" builtinId="4"/>
    <cellStyle name="Normal" xfId="0" builtinId="0"/>
    <cellStyle name="Normal 2" xfId="4" xr:uid="{00000000-0005-0000-0000-000003000000}"/>
    <cellStyle name="Normal 3" xfId="7" xr:uid="{00000000-0005-0000-0000-000004000000}"/>
    <cellStyle name="Normal 4" xfId="8" xr:uid="{00000000-0005-0000-0000-000005000000}"/>
    <cellStyle name="Normal 5" xfId="9" xr:uid="{00000000-0005-0000-0000-000006000000}"/>
    <cellStyle name="Normal 6" xfId="10" xr:uid="{00000000-0005-0000-0000-000007000000}"/>
    <cellStyle name="Normal 7" xfId="11" xr:uid="{00000000-0005-0000-0000-000008000000}"/>
    <cellStyle name="Normal 8" xfId="12" xr:uid="{00000000-0005-0000-0000-000009000000}"/>
    <cellStyle name="Porcentaje" xfId="2" builtinId="5"/>
    <cellStyle name="常规 2" xfId="6" xr:uid="{00000000-0005-0000-0000-00000B000000}"/>
    <cellStyle name="常规_Sales C0ntract" xfId="5" xr:uid="{00000000-0005-0000-0000-00000C000000}"/>
  </cellStyles>
  <dxfs count="0"/>
  <tableStyles count="0" defaultTableStyle="TableStyleMedium2" defaultPivotStyle="PivotStyleLight16"/>
  <colors>
    <mruColors>
      <color rgb="FFFF500B"/>
      <color rgb="FFFF99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402772</xdr:colOff>
      <xdr:row>1</xdr:row>
      <xdr:rowOff>65314</xdr:rowOff>
    </xdr:from>
    <xdr:ext cx="1209675" cy="1190625"/>
    <xdr:pic>
      <xdr:nvPicPr>
        <xdr:cNvPr id="2" name="Imagen 23">
          <a:extLst>
            <a:ext uri="{FF2B5EF4-FFF2-40B4-BE49-F238E27FC236}">
              <a16:creationId xmlns:a16="http://schemas.microsoft.com/office/drawing/2014/main" id="{F785BEEA-318A-43D1-AD57-F1658C84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629" y="293914"/>
          <a:ext cx="1209675" cy="1190625"/>
        </a:xfrm>
        <a:prstGeom prst="rect">
          <a:avLst/>
        </a:prstGeom>
      </xdr:spPr>
    </xdr:pic>
    <xdr:clientData/>
  </xdr:oneCellAnchor>
  <xdr:oneCellAnchor>
    <xdr:from>
      <xdr:col>1</xdr:col>
      <xdr:colOff>511628</xdr:colOff>
      <xdr:row>59</xdr:row>
      <xdr:rowOff>10885</xdr:rowOff>
    </xdr:from>
    <xdr:ext cx="1209675" cy="1190625"/>
    <xdr:pic>
      <xdr:nvPicPr>
        <xdr:cNvPr id="3" name="Imagen 23">
          <a:extLst>
            <a:ext uri="{FF2B5EF4-FFF2-40B4-BE49-F238E27FC236}">
              <a16:creationId xmlns:a16="http://schemas.microsoft.com/office/drawing/2014/main" id="{B3DBF9F4-6E54-4AF7-BADF-00CA56991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722" y="9405897"/>
          <a:ext cx="1209675" cy="1190625"/>
        </a:xfrm>
        <a:prstGeom prst="rect">
          <a:avLst/>
        </a:prstGeom>
      </xdr:spPr>
    </xdr:pic>
    <xdr:clientData/>
  </xdr:oneCellAnchor>
  <xdr:twoCellAnchor editAs="oneCell">
    <xdr:from>
      <xdr:col>2</xdr:col>
      <xdr:colOff>696686</xdr:colOff>
      <xdr:row>95</xdr:row>
      <xdr:rowOff>107313</xdr:rowOff>
    </xdr:from>
    <xdr:to>
      <xdr:col>8</xdr:col>
      <xdr:colOff>498204</xdr:colOff>
      <xdr:row>114</xdr:row>
      <xdr:rowOff>365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2C9A19-FCEF-1A4B-FA39-83E9195908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2086" y="18264684"/>
          <a:ext cx="4060372" cy="3430546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C111"/>
  <sheetViews>
    <sheetView showGridLines="0" tabSelected="1" topLeftCell="A55" zoomScale="70" zoomScaleNormal="70" workbookViewId="0">
      <selection activeCell="B77" sqref="B77:L77"/>
    </sheetView>
  </sheetViews>
  <sheetFormatPr baseColWidth="10" defaultColWidth="10.6640625" defaultRowHeight="14.4"/>
  <cols>
    <col min="1" max="1" width="7.109375" style="1" customWidth="1"/>
    <col min="2" max="2" width="11.6640625" style="1" customWidth="1"/>
    <col min="3" max="3" width="21.44140625" style="1" customWidth="1"/>
    <col min="4" max="4" width="0.88671875" style="1" customWidth="1"/>
    <col min="5" max="5" width="12.109375" style="1" customWidth="1"/>
    <col min="6" max="6" width="10.6640625" style="1" customWidth="1"/>
    <col min="7" max="7" width="15.88671875" style="1" customWidth="1"/>
    <col min="8" max="8" width="0.88671875" style="1" customWidth="1"/>
    <col min="9" max="9" width="37.44140625" style="1" customWidth="1"/>
    <col min="10" max="10" width="10.6640625" style="1" customWidth="1"/>
    <col min="11" max="11" width="14.44140625" style="1" customWidth="1"/>
    <col min="12" max="12" width="8.6640625" style="1" customWidth="1"/>
    <col min="13" max="16384" width="10.6640625" style="1"/>
  </cols>
  <sheetData>
    <row r="1" spans="1:12" ht="18" customHeight="1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2" ht="18" customHeight="1">
      <c r="B2" s="126"/>
      <c r="C2" s="126"/>
      <c r="E2" s="130"/>
      <c r="F2" s="130"/>
      <c r="G2" s="130"/>
      <c r="H2" s="130"/>
      <c r="I2" s="130"/>
      <c r="J2" s="130"/>
      <c r="K2" s="130"/>
      <c r="L2" s="130"/>
    </row>
    <row r="3" spans="1:12" ht="25.8">
      <c r="B3" s="126"/>
      <c r="C3" s="126"/>
      <c r="E3" s="135" t="s">
        <v>118</v>
      </c>
      <c r="F3" s="135"/>
      <c r="G3" s="135"/>
      <c r="H3" s="135"/>
      <c r="I3" s="135"/>
      <c r="J3" s="135"/>
    </row>
    <row r="4" spans="1:12" ht="25.8">
      <c r="B4" s="126"/>
      <c r="C4" s="126"/>
      <c r="E4" s="136" t="s">
        <v>120</v>
      </c>
      <c r="F4" s="136"/>
      <c r="G4" s="136"/>
      <c r="H4" s="136"/>
      <c r="I4" s="136"/>
      <c r="J4" s="136"/>
      <c r="K4" s="34"/>
    </row>
    <row r="5" spans="1:12">
      <c r="B5" s="126"/>
      <c r="C5" s="126"/>
      <c r="D5" s="87"/>
    </row>
    <row r="6" spans="1:12">
      <c r="B6" s="126"/>
      <c r="C6" s="126"/>
      <c r="D6" s="51"/>
      <c r="F6" s="51"/>
      <c r="G6" s="51"/>
      <c r="H6" s="51"/>
    </row>
    <row r="7" spans="1:12">
      <c r="A7" s="126"/>
      <c r="B7" s="126"/>
      <c r="C7" s="126"/>
      <c r="E7" s="127" t="s">
        <v>117</v>
      </c>
      <c r="F7" s="127"/>
      <c r="G7" s="127"/>
      <c r="I7" s="126"/>
      <c r="J7" s="126"/>
      <c r="K7" s="126"/>
      <c r="L7" s="126"/>
    </row>
    <row r="8" spans="1:12">
      <c r="B8" s="30" t="s">
        <v>81</v>
      </c>
      <c r="C8" s="38" t="s">
        <v>104</v>
      </c>
      <c r="D8" s="85"/>
      <c r="E8" s="48" t="s">
        <v>24</v>
      </c>
      <c r="F8" s="132" t="s">
        <v>25</v>
      </c>
      <c r="G8" s="133"/>
      <c r="H8" s="84"/>
      <c r="I8" s="1" t="s">
        <v>30</v>
      </c>
      <c r="J8" s="146">
        <f>+'2'!F7</f>
        <v>8</v>
      </c>
      <c r="K8" s="146"/>
      <c r="L8" s="146"/>
    </row>
    <row r="9" spans="1:12">
      <c r="B9" s="30" t="s">
        <v>80</v>
      </c>
      <c r="C9" s="38" t="s">
        <v>105</v>
      </c>
      <c r="D9" s="85"/>
      <c r="E9" s="49" t="s">
        <v>100</v>
      </c>
      <c r="F9" s="128">
        <f ca="1">+TODAY()</f>
        <v>46184</v>
      </c>
      <c r="G9" s="129"/>
      <c r="H9" s="84"/>
      <c r="I9" s="1" t="s">
        <v>29</v>
      </c>
      <c r="J9" s="125">
        <f>+'2'!F8</f>
        <v>116</v>
      </c>
      <c r="K9" s="125"/>
      <c r="L9" s="125"/>
    </row>
    <row r="10" spans="1:12">
      <c r="B10" s="30" t="s">
        <v>22</v>
      </c>
      <c r="C10" s="38">
        <v>40828284</v>
      </c>
      <c r="D10" s="85"/>
      <c r="E10" s="55" t="s">
        <v>26</v>
      </c>
      <c r="F10" s="130" t="s">
        <v>27</v>
      </c>
      <c r="G10" s="131"/>
      <c r="H10" s="84"/>
      <c r="I10" s="1" t="s">
        <v>134</v>
      </c>
      <c r="J10" s="147">
        <v>0</v>
      </c>
      <c r="K10" s="147"/>
      <c r="L10" s="147"/>
    </row>
    <row r="11" spans="1:12">
      <c r="B11" s="30" t="s">
        <v>23</v>
      </c>
      <c r="C11" s="39">
        <v>969094294</v>
      </c>
      <c r="D11" s="86"/>
      <c r="E11" s="50" t="s">
        <v>21</v>
      </c>
      <c r="F11" s="149"/>
      <c r="G11" s="150"/>
      <c r="H11" s="84"/>
      <c r="I11" s="1" t="s">
        <v>28</v>
      </c>
      <c r="J11" s="158">
        <f>+'2'!F9</f>
        <v>1.1879999999999999</v>
      </c>
      <c r="K11" s="158"/>
      <c r="L11" s="158"/>
    </row>
    <row r="12" spans="1:12"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1:12">
      <c r="B13" s="151" t="s">
        <v>31</v>
      </c>
      <c r="C13" s="151"/>
      <c r="D13" s="151"/>
      <c r="E13" s="151"/>
      <c r="F13" s="151"/>
      <c r="G13" s="151"/>
      <c r="H13" s="151"/>
      <c r="I13" s="151"/>
      <c r="J13" s="151"/>
      <c r="K13" s="124" t="s">
        <v>34</v>
      </c>
      <c r="L13" s="124" t="s">
        <v>33</v>
      </c>
    </row>
    <row r="14" spans="1:12">
      <c r="B14" s="152" t="s">
        <v>36</v>
      </c>
      <c r="C14" s="152"/>
      <c r="D14" s="152"/>
      <c r="E14" s="152"/>
      <c r="F14" s="152"/>
      <c r="G14" s="152"/>
      <c r="H14" s="152"/>
      <c r="I14" s="152"/>
      <c r="J14" s="152"/>
      <c r="K14" s="36">
        <f>'2'!F13</f>
        <v>944.03</v>
      </c>
      <c r="L14" s="31" t="s">
        <v>35</v>
      </c>
    </row>
    <row r="15" spans="1:12">
      <c r="A15" s="90"/>
      <c r="B15" s="160" t="s">
        <v>121</v>
      </c>
      <c r="C15" s="160"/>
      <c r="D15" s="160"/>
      <c r="E15" s="160"/>
      <c r="F15" s="160"/>
      <c r="G15" s="160"/>
      <c r="H15" s="160"/>
      <c r="I15" s="160"/>
      <c r="J15" s="160"/>
      <c r="K15" s="88"/>
      <c r="L15" s="89" t="s">
        <v>35</v>
      </c>
    </row>
    <row r="16" spans="1:12">
      <c r="B16" s="154" t="s">
        <v>32</v>
      </c>
      <c r="C16" s="154"/>
      <c r="D16" s="154"/>
      <c r="E16" s="154"/>
      <c r="F16" s="154"/>
      <c r="G16" s="154"/>
      <c r="H16" s="154"/>
      <c r="I16" s="154"/>
      <c r="J16" s="154"/>
      <c r="K16" s="37">
        <f>'2'!F16+'2'!F19</f>
        <v>299.47999999999996</v>
      </c>
      <c r="L16" s="33" t="s">
        <v>35</v>
      </c>
    </row>
    <row r="17" spans="1:29">
      <c r="B17" s="153" t="s">
        <v>7</v>
      </c>
      <c r="C17" s="153"/>
      <c r="D17" s="153"/>
      <c r="E17" s="153"/>
      <c r="F17" s="153"/>
      <c r="G17" s="153"/>
      <c r="H17" s="153"/>
      <c r="I17" s="153"/>
      <c r="J17" s="153"/>
      <c r="K17" s="36">
        <f>SUM(K14:K16)</f>
        <v>1243.51</v>
      </c>
      <c r="L17" s="31" t="s">
        <v>35</v>
      </c>
    </row>
    <row r="18" spans="1:29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29">
      <c r="B19" s="159" t="s">
        <v>98</v>
      </c>
      <c r="C19" s="159"/>
      <c r="D19" s="159"/>
      <c r="E19" s="159"/>
      <c r="F19" s="159"/>
      <c r="G19" s="122"/>
      <c r="H19" s="122"/>
      <c r="I19" s="122"/>
      <c r="J19" s="123" t="s">
        <v>41</v>
      </c>
      <c r="K19" s="123" t="s">
        <v>34</v>
      </c>
      <c r="L19" s="123" t="s">
        <v>33</v>
      </c>
    </row>
    <row r="20" spans="1:29">
      <c r="B20" s="155" t="s">
        <v>37</v>
      </c>
      <c r="C20" s="155"/>
      <c r="D20" s="155"/>
      <c r="E20" s="155"/>
      <c r="F20" s="155"/>
      <c r="G20" s="155"/>
      <c r="H20" s="155"/>
      <c r="I20" s="155"/>
      <c r="J20" s="45">
        <f>MAX('2'!C26:E26)</f>
        <v>0.04</v>
      </c>
      <c r="K20" s="36">
        <f>'2'!F27</f>
        <v>33.510475726407002</v>
      </c>
      <c r="L20" s="31" t="s">
        <v>35</v>
      </c>
    </row>
    <row r="21" spans="1:29">
      <c r="B21" s="29" t="s">
        <v>122</v>
      </c>
      <c r="C21" s="29"/>
      <c r="D21" s="29"/>
      <c r="E21" s="29"/>
      <c r="F21" s="29"/>
      <c r="G21" s="29"/>
      <c r="H21" s="29"/>
      <c r="I21" s="29"/>
      <c r="J21" s="45">
        <v>0</v>
      </c>
      <c r="K21" s="36">
        <v>0</v>
      </c>
      <c r="L21" s="31" t="s">
        <v>35</v>
      </c>
    </row>
    <row r="22" spans="1:29">
      <c r="B22" s="155" t="s">
        <v>38</v>
      </c>
      <c r="C22" s="155"/>
      <c r="D22" s="155"/>
      <c r="E22" s="155"/>
      <c r="F22" s="155"/>
      <c r="G22" s="155"/>
      <c r="H22" s="155"/>
      <c r="I22" s="155"/>
      <c r="J22" s="45">
        <v>0.16</v>
      </c>
      <c r="K22" s="36">
        <f>'2'!F29</f>
        <v>204.32327611622512</v>
      </c>
      <c r="L22" s="31" t="s">
        <v>35</v>
      </c>
    </row>
    <row r="23" spans="1:29">
      <c r="B23" s="149" t="s">
        <v>39</v>
      </c>
      <c r="C23" s="149"/>
      <c r="D23" s="149"/>
      <c r="E23" s="149"/>
      <c r="F23" s="149"/>
      <c r="G23" s="149"/>
      <c r="H23" s="149"/>
      <c r="I23" s="149"/>
      <c r="J23" s="45">
        <v>0.02</v>
      </c>
      <c r="K23" s="36">
        <f>'2'!F30</f>
        <v>25.54040951452814</v>
      </c>
      <c r="L23" s="31" t="s">
        <v>35</v>
      </c>
    </row>
    <row r="24" spans="1:29">
      <c r="B24" s="153" t="s">
        <v>42</v>
      </c>
      <c r="C24" s="153"/>
      <c r="D24" s="153"/>
      <c r="E24" s="153"/>
      <c r="F24" s="153"/>
      <c r="G24" s="153"/>
      <c r="H24" s="153"/>
      <c r="I24" s="153"/>
      <c r="J24" s="73"/>
      <c r="K24" s="74">
        <f>SUM(K20:K23)</f>
        <v>263.37416135716029</v>
      </c>
      <c r="L24" s="73" t="s">
        <v>35</v>
      </c>
    </row>
    <row r="25" spans="1:29">
      <c r="B25" s="155"/>
      <c r="C25" s="155"/>
      <c r="D25" s="155"/>
      <c r="E25" s="155"/>
      <c r="F25" s="155"/>
      <c r="G25" s="155"/>
      <c r="H25" s="155"/>
      <c r="I25" s="155"/>
      <c r="J25" s="2"/>
      <c r="K25" s="32"/>
      <c r="L25" s="31"/>
    </row>
    <row r="26" spans="1:29">
      <c r="B26" s="149" t="s">
        <v>40</v>
      </c>
      <c r="C26" s="149"/>
      <c r="D26" s="149"/>
      <c r="E26" s="149"/>
      <c r="F26" s="149"/>
      <c r="G26" s="149"/>
      <c r="H26" s="149"/>
      <c r="I26" s="149"/>
      <c r="J26" s="46" t="s">
        <v>75</v>
      </c>
      <c r="K26" s="37">
        <f>'2'!F31</f>
        <v>52.74094564750061</v>
      </c>
      <c r="L26" s="33" t="s">
        <v>35</v>
      </c>
    </row>
    <row r="27" spans="1:29">
      <c r="B27" s="153" t="s">
        <v>8</v>
      </c>
      <c r="C27" s="153"/>
      <c r="D27" s="153"/>
      <c r="E27" s="153"/>
      <c r="F27" s="153"/>
      <c r="G27" s="153"/>
      <c r="H27" s="153"/>
      <c r="I27" s="153"/>
      <c r="K27" s="36">
        <f>K24+K26</f>
        <v>316.1151070046609</v>
      </c>
      <c r="L27" s="31" t="s">
        <v>35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ht="15.75" customHeight="1">
      <c r="B28" s="130"/>
      <c r="C28" s="130"/>
      <c r="D28" s="130"/>
      <c r="E28" s="130"/>
      <c r="F28" s="130"/>
      <c r="G28" s="130"/>
      <c r="H28" s="130"/>
      <c r="I28" s="130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customFormat="1" ht="15.75" customHeight="1">
      <c r="A29" s="91"/>
      <c r="B29" s="162" t="s">
        <v>123</v>
      </c>
      <c r="C29" s="163"/>
      <c r="D29" s="163"/>
      <c r="E29" s="163"/>
      <c r="F29" s="163"/>
      <c r="G29" s="92"/>
      <c r="H29" s="93"/>
      <c r="I29" s="93"/>
      <c r="J29" s="94" t="s">
        <v>38</v>
      </c>
      <c r="K29" s="94" t="s">
        <v>34</v>
      </c>
      <c r="L29" s="94" t="s">
        <v>33</v>
      </c>
      <c r="M29" s="108"/>
      <c r="O29" s="109"/>
      <c r="P29" s="109"/>
      <c r="S29" s="109"/>
      <c r="T29" s="109"/>
      <c r="W29" s="109"/>
      <c r="X29" s="109"/>
      <c r="AA29" s="109"/>
      <c r="AB29" s="109"/>
    </row>
    <row r="30" spans="1:29" customFormat="1" ht="15.75" customHeight="1">
      <c r="A30" s="91"/>
      <c r="B30" s="91" t="s">
        <v>121</v>
      </c>
      <c r="C30" s="95"/>
      <c r="D30" s="95"/>
      <c r="E30" s="95"/>
      <c r="F30" s="95"/>
      <c r="G30" s="95"/>
      <c r="H30" s="95"/>
      <c r="I30" s="95"/>
      <c r="J30" s="96" t="s">
        <v>124</v>
      </c>
      <c r="K30" s="97"/>
      <c r="L30" s="96" t="s">
        <v>35</v>
      </c>
      <c r="M30" s="108"/>
      <c r="O30" s="110"/>
      <c r="P30" s="110"/>
      <c r="S30" s="110"/>
      <c r="T30" s="110"/>
      <c r="W30" s="110"/>
      <c r="X30" s="110"/>
      <c r="AA30" s="110"/>
      <c r="AB30" s="110"/>
    </row>
    <row r="31" spans="1:29" customFormat="1" ht="15.75" customHeight="1">
      <c r="A31" s="91"/>
      <c r="B31" s="98" t="s">
        <v>125</v>
      </c>
      <c r="C31" s="95"/>
      <c r="D31" s="95"/>
      <c r="E31" s="95"/>
      <c r="F31" s="95"/>
      <c r="G31" s="95"/>
      <c r="H31" s="95"/>
      <c r="I31" s="95"/>
      <c r="J31" s="96" t="s">
        <v>126</v>
      </c>
      <c r="K31" s="97"/>
      <c r="L31" s="96" t="s">
        <v>35</v>
      </c>
      <c r="M31" s="108"/>
      <c r="N31" s="98"/>
      <c r="O31" s="110"/>
      <c r="P31" s="110"/>
      <c r="Q31" s="111"/>
      <c r="S31" s="110"/>
      <c r="T31" s="110"/>
      <c r="U31" s="110"/>
      <c r="W31" s="110"/>
      <c r="X31" s="110"/>
      <c r="Y31" s="110"/>
      <c r="AA31" s="110"/>
      <c r="AB31" s="110"/>
      <c r="AC31" s="110"/>
    </row>
    <row r="32" spans="1:29" customFormat="1" ht="15.75" customHeight="1">
      <c r="A32" s="91"/>
      <c r="B32" s="99" t="s">
        <v>127</v>
      </c>
      <c r="C32" s="100"/>
      <c r="D32" s="100"/>
      <c r="E32" s="100"/>
      <c r="F32" s="100"/>
      <c r="G32" s="100"/>
      <c r="H32" s="100"/>
      <c r="I32" s="100"/>
      <c r="J32" s="101" t="s">
        <v>124</v>
      </c>
      <c r="K32" s="102"/>
      <c r="L32" s="103" t="s">
        <v>35</v>
      </c>
      <c r="M32" s="108"/>
      <c r="O32" s="110"/>
      <c r="P32" s="110"/>
      <c r="S32" s="110"/>
      <c r="T32" s="110"/>
      <c r="W32" s="110"/>
      <c r="X32" s="110"/>
      <c r="AA32" s="110"/>
      <c r="AB32" s="110"/>
    </row>
    <row r="33" spans="1:29" customFormat="1" ht="15.75" customHeight="1">
      <c r="A33" s="91"/>
      <c r="B33" s="104" t="s">
        <v>42</v>
      </c>
      <c r="C33" s="95"/>
      <c r="D33" s="95"/>
      <c r="E33" s="95"/>
      <c r="F33" s="95"/>
      <c r="G33" s="95"/>
      <c r="H33" s="95"/>
      <c r="I33" s="95"/>
      <c r="J33" s="105"/>
      <c r="K33" s="97">
        <f>SUM(K30:K32)</f>
        <v>0</v>
      </c>
      <c r="L33" s="96" t="s">
        <v>35</v>
      </c>
      <c r="M33" s="108"/>
      <c r="O33" s="110"/>
      <c r="P33" s="110"/>
      <c r="S33" s="110"/>
      <c r="T33" s="112"/>
      <c r="W33" s="110"/>
      <c r="AA33" s="110"/>
      <c r="AB33" s="113"/>
    </row>
    <row r="34" spans="1:29" customFormat="1" ht="15.75" customHeight="1">
      <c r="A34" s="91"/>
      <c r="B34" s="104"/>
      <c r="C34" s="95"/>
      <c r="D34" s="95"/>
      <c r="E34" s="95"/>
      <c r="F34" s="95"/>
      <c r="G34" s="95"/>
      <c r="H34" s="95"/>
      <c r="I34" s="95"/>
      <c r="J34" s="105"/>
      <c r="K34" s="97"/>
      <c r="L34" s="96"/>
      <c r="M34" s="108"/>
      <c r="O34" s="110"/>
      <c r="P34" s="110"/>
      <c r="S34" s="110"/>
      <c r="T34" s="110"/>
      <c r="W34" s="110"/>
      <c r="X34" s="110"/>
      <c r="AA34" s="110"/>
      <c r="AB34" s="110"/>
    </row>
    <row r="35" spans="1:29" customFormat="1" ht="15.75" customHeight="1">
      <c r="A35" s="91"/>
      <c r="B35" s="98" t="s">
        <v>128</v>
      </c>
      <c r="C35" s="95"/>
      <c r="D35" s="95"/>
      <c r="E35" s="95"/>
      <c r="F35" s="95"/>
      <c r="G35" s="95"/>
      <c r="H35" s="95"/>
      <c r="I35" s="95"/>
      <c r="J35" s="105"/>
      <c r="K35" s="97">
        <v>0</v>
      </c>
      <c r="L35" s="96" t="s">
        <v>35</v>
      </c>
      <c r="M35" s="108"/>
      <c r="O35" s="110"/>
      <c r="P35" s="110"/>
      <c r="S35" s="110"/>
      <c r="T35" s="110"/>
      <c r="W35" s="110"/>
      <c r="X35" s="110"/>
      <c r="AA35" s="110"/>
      <c r="AB35" s="110"/>
    </row>
    <row r="36" spans="1:29" customFormat="1" ht="15.75" customHeight="1">
      <c r="A36" s="91"/>
      <c r="B36" s="99" t="s">
        <v>129</v>
      </c>
      <c r="C36" s="100"/>
      <c r="D36" s="100"/>
      <c r="E36" s="100"/>
      <c r="F36" s="100"/>
      <c r="G36" s="100"/>
      <c r="H36" s="100"/>
      <c r="I36" s="100"/>
      <c r="J36" s="101"/>
      <c r="K36" s="106">
        <v>0</v>
      </c>
      <c r="L36" s="107" t="s">
        <v>35</v>
      </c>
      <c r="M36" s="108"/>
      <c r="O36" s="110"/>
      <c r="P36" s="110"/>
      <c r="S36" s="110"/>
      <c r="T36" s="110"/>
      <c r="W36" s="110"/>
      <c r="X36" s="110"/>
      <c r="AA36" s="110"/>
      <c r="AB36" s="110"/>
    </row>
    <row r="37" spans="1:29" customFormat="1" ht="15.75" customHeight="1">
      <c r="A37" s="91"/>
      <c r="B37" s="164" t="s">
        <v>8</v>
      </c>
      <c r="C37" s="165"/>
      <c r="D37" s="165"/>
      <c r="E37" s="165"/>
      <c r="F37" s="165"/>
      <c r="G37" s="165"/>
      <c r="H37" s="165"/>
      <c r="I37" s="165"/>
      <c r="J37" s="108"/>
      <c r="K37" s="118">
        <f>SUM(K33+K35)-K36</f>
        <v>0</v>
      </c>
      <c r="L37" s="119" t="s">
        <v>35</v>
      </c>
      <c r="M37" s="108"/>
    </row>
    <row r="38" spans="1:29" customFormat="1" ht="15.75" customHeight="1">
      <c r="A38" s="91"/>
      <c r="B38" s="117"/>
      <c r="C38" s="95"/>
      <c r="D38" s="95"/>
      <c r="E38" s="95"/>
      <c r="F38" s="95"/>
      <c r="G38" s="95"/>
      <c r="H38" s="95"/>
      <c r="I38" s="95"/>
      <c r="J38" s="108"/>
      <c r="K38" s="118"/>
      <c r="L38" s="119"/>
      <c r="M38" s="108"/>
    </row>
    <row r="39" spans="1:29" ht="15.6">
      <c r="B39" s="168" t="s">
        <v>96</v>
      </c>
      <c r="C39" s="168"/>
      <c r="D39" s="168"/>
      <c r="E39" s="168"/>
      <c r="F39" s="168"/>
      <c r="G39" s="168"/>
      <c r="H39" s="168"/>
      <c r="I39" s="168"/>
      <c r="J39" s="168"/>
      <c r="K39" s="58" t="s">
        <v>34</v>
      </c>
      <c r="L39" s="58" t="s">
        <v>33</v>
      </c>
      <c r="M39" s="120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ht="15.75" customHeight="1">
      <c r="B40" s="155" t="s">
        <v>130</v>
      </c>
      <c r="C40" s="155"/>
      <c r="D40" s="155"/>
      <c r="E40" s="155"/>
      <c r="F40" s="155"/>
      <c r="G40" s="155"/>
      <c r="H40" s="155"/>
      <c r="I40" s="155"/>
      <c r="J40" s="155"/>
      <c r="K40" s="36">
        <f>K37</f>
        <v>0</v>
      </c>
      <c r="L40" s="31" t="s">
        <v>35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ht="15.75" customHeight="1">
      <c r="B41" s="155" t="s">
        <v>43</v>
      </c>
      <c r="C41" s="155"/>
      <c r="D41" s="155"/>
      <c r="E41" s="155"/>
      <c r="F41" s="155"/>
      <c r="G41" s="155"/>
      <c r="H41" s="155"/>
      <c r="I41" s="155"/>
      <c r="J41" s="155"/>
      <c r="K41" s="36">
        <f>K27</f>
        <v>316.1151070046609</v>
      </c>
      <c r="L41" s="31" t="s">
        <v>35</v>
      </c>
    </row>
    <row r="42" spans="1:29">
      <c r="B42" s="1" t="s">
        <v>131</v>
      </c>
      <c r="K42" s="36">
        <v>0</v>
      </c>
      <c r="L42" s="31" t="s">
        <v>35</v>
      </c>
    </row>
    <row r="43" spans="1:29">
      <c r="B43" s="166" t="s">
        <v>132</v>
      </c>
      <c r="C43" s="166"/>
      <c r="D43" s="166"/>
      <c r="E43" s="166"/>
      <c r="F43" s="166"/>
      <c r="G43" s="166"/>
      <c r="H43" s="166"/>
      <c r="I43" s="166"/>
      <c r="J43" s="166"/>
      <c r="K43" s="36">
        <v>0</v>
      </c>
      <c r="L43" s="31" t="s">
        <v>35</v>
      </c>
    </row>
    <row r="44" spans="1:29">
      <c r="B44" s="121" t="s">
        <v>133</v>
      </c>
      <c r="C44" s="121"/>
      <c r="D44" s="121"/>
      <c r="E44" s="121"/>
      <c r="F44" s="121"/>
      <c r="G44" s="121"/>
      <c r="H44" s="121"/>
      <c r="I44" s="121"/>
      <c r="J44" s="121"/>
      <c r="K44" s="36">
        <v>0</v>
      </c>
      <c r="L44" s="31" t="s">
        <v>35</v>
      </c>
    </row>
    <row r="45" spans="1:29" ht="15.75" customHeight="1">
      <c r="B45" s="153" t="s">
        <v>97</v>
      </c>
      <c r="C45" s="153"/>
      <c r="D45" s="153"/>
      <c r="E45" s="153"/>
      <c r="F45" s="153"/>
      <c r="G45" s="153"/>
      <c r="H45" s="153"/>
      <c r="I45" s="153"/>
      <c r="J45" s="153"/>
      <c r="K45" s="74">
        <f>SUM(K40:K44)</f>
        <v>316.1151070046609</v>
      </c>
      <c r="L45" s="73" t="s">
        <v>35</v>
      </c>
    </row>
    <row r="46" spans="1:29" ht="15.75" customHeight="1"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</row>
    <row r="47" spans="1:29" ht="15.75" customHeight="1">
      <c r="B47" s="143" t="s">
        <v>99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5"/>
    </row>
    <row r="48" spans="1:29" ht="15.75" customHeight="1">
      <c r="B48" s="44" t="s">
        <v>45</v>
      </c>
      <c r="C48" s="138" t="s">
        <v>78</v>
      </c>
      <c r="D48" s="139"/>
      <c r="E48" s="140"/>
      <c r="F48" s="7" t="s">
        <v>1</v>
      </c>
      <c r="G48" s="138" t="s">
        <v>79</v>
      </c>
      <c r="H48" s="140"/>
      <c r="I48" s="5" t="s">
        <v>76</v>
      </c>
      <c r="J48" s="52" t="s">
        <v>8</v>
      </c>
      <c r="K48" s="169" t="s">
        <v>77</v>
      </c>
      <c r="L48" s="170"/>
    </row>
    <row r="49" spans="2:13">
      <c r="B49" s="44">
        <v>1</v>
      </c>
      <c r="C49" s="138" t="str">
        <f>+'2'!$C$6</f>
        <v xml:space="preserve">Kids Car Seat Belt Pillow </v>
      </c>
      <c r="D49" s="139"/>
      <c r="E49" s="140"/>
      <c r="F49" s="7">
        <f>+'2'!$C$46</f>
        <v>100</v>
      </c>
      <c r="G49" s="141">
        <f>+'2'!$C$10</f>
        <v>6.36</v>
      </c>
      <c r="H49" s="142"/>
      <c r="I49" s="53">
        <f>+'2'!$C$47</f>
        <v>11.424505892807643</v>
      </c>
      <c r="J49" s="53">
        <f t="shared" ref="J49" si="0">+F49*I49</f>
        <v>1142.4505892807642</v>
      </c>
      <c r="K49" s="137">
        <f t="shared" ref="K49" si="1">I49*3.7</f>
        <v>42.270671803388282</v>
      </c>
      <c r="L49" s="137"/>
    </row>
    <row r="50" spans="2:13" ht="15.6">
      <c r="B50" s="47" t="s">
        <v>8</v>
      </c>
      <c r="C50" s="2"/>
      <c r="D50" s="2"/>
      <c r="E50" s="2"/>
      <c r="F50" s="35">
        <f>+SUM(F49:F49)</f>
        <v>100</v>
      </c>
      <c r="G50" s="2"/>
      <c r="H50" s="2"/>
      <c r="J50" s="54">
        <f>+SUM(J49:J49)</f>
        <v>1142.4505892807642</v>
      </c>
      <c r="K50" s="75"/>
      <c r="L50" s="76"/>
    </row>
    <row r="51" spans="2:13" ht="15.6">
      <c r="B51" s="47"/>
      <c r="C51" s="2"/>
      <c r="D51" s="2"/>
      <c r="E51" s="2"/>
      <c r="F51" s="35"/>
      <c r="G51" s="2"/>
      <c r="H51" s="2"/>
      <c r="J51" s="60"/>
      <c r="K51" s="75"/>
      <c r="L51" s="76"/>
    </row>
    <row r="52" spans="2:13">
      <c r="B52" s="29"/>
      <c r="C52" s="29"/>
      <c r="D52" s="29"/>
      <c r="E52" s="29"/>
      <c r="F52" s="29"/>
      <c r="G52" s="29"/>
      <c r="H52" s="29"/>
      <c r="I52" s="29"/>
      <c r="J52" s="29"/>
      <c r="K52" s="77"/>
      <c r="L52" s="78"/>
    </row>
    <row r="53" spans="2:13" ht="18">
      <c r="B53" s="59" t="s">
        <v>53</v>
      </c>
      <c r="C53" s="29"/>
      <c r="D53" s="29"/>
      <c r="E53" s="29"/>
      <c r="F53" s="29"/>
      <c r="G53" s="29"/>
      <c r="H53" s="29"/>
      <c r="I53" s="29"/>
      <c r="J53" s="29"/>
      <c r="K53" s="29"/>
    </row>
    <row r="54" spans="2:13" ht="18">
      <c r="B54" s="148" t="s">
        <v>89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</row>
    <row r="55" spans="2:13" ht="18">
      <c r="B55" s="148" t="s">
        <v>90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</row>
    <row r="56" spans="2:13" ht="18">
      <c r="B56" s="148" t="s">
        <v>91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</row>
    <row r="57" spans="2:13" ht="18">
      <c r="B57" s="148" t="s">
        <v>92</v>
      </c>
      <c r="C57" s="148"/>
      <c r="D57" s="148"/>
      <c r="E57" s="148"/>
      <c r="F57" s="148"/>
      <c r="G57" s="148"/>
      <c r="H57" s="148"/>
      <c r="I57" s="148"/>
      <c r="J57" s="148"/>
      <c r="K57" s="148"/>
      <c r="L57" s="148"/>
    </row>
    <row r="58" spans="2:13" ht="18">
      <c r="B58" s="148" t="s">
        <v>93</v>
      </c>
      <c r="C58" s="148"/>
      <c r="D58" s="148"/>
      <c r="E58" s="148"/>
      <c r="F58" s="148"/>
      <c r="G58" s="148"/>
      <c r="H58" s="148"/>
      <c r="I58" s="148"/>
      <c r="J58" s="148"/>
      <c r="K58" s="148"/>
      <c r="L58" s="148"/>
    </row>
    <row r="59" spans="2:13"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2:13" ht="9" customHeight="1">
      <c r="B60" s="126"/>
      <c r="C60" s="126"/>
      <c r="E60" s="126"/>
      <c r="F60" s="126"/>
      <c r="G60" s="126"/>
      <c r="H60" s="126"/>
      <c r="I60" s="126"/>
      <c r="J60" s="126"/>
      <c r="K60" s="126"/>
      <c r="L60" s="126"/>
      <c r="M60" s="126"/>
    </row>
    <row r="61" spans="2:13" ht="31.95" customHeight="1">
      <c r="B61" s="126"/>
      <c r="C61" s="126"/>
      <c r="D61" s="161" t="s">
        <v>118</v>
      </c>
      <c r="E61" s="161"/>
      <c r="F61" s="161"/>
      <c r="G61" s="161"/>
      <c r="H61" s="161"/>
      <c r="I61" s="161"/>
      <c r="J61" s="161"/>
      <c r="K61" s="161"/>
      <c r="L61" s="161"/>
      <c r="M61" s="161"/>
    </row>
    <row r="62" spans="2:13" ht="21" customHeight="1">
      <c r="B62" s="126"/>
      <c r="C62" s="126"/>
      <c r="D62" s="134" t="s">
        <v>119</v>
      </c>
      <c r="E62" s="134"/>
      <c r="F62" s="134"/>
      <c r="G62" s="134"/>
      <c r="H62" s="134"/>
      <c r="I62" s="134"/>
    </row>
    <row r="63" spans="2:13">
      <c r="B63" s="126"/>
      <c r="C63" s="126"/>
    </row>
    <row r="64" spans="2:13">
      <c r="B64" s="126"/>
      <c r="C64" s="126"/>
    </row>
    <row r="65" spans="2:12" ht="21">
      <c r="B65" s="171" t="s">
        <v>44</v>
      </c>
      <c r="C65" s="171"/>
      <c r="D65" s="171"/>
      <c r="E65" s="171"/>
      <c r="F65" s="171"/>
      <c r="G65" s="171"/>
      <c r="H65" s="171"/>
      <c r="I65" s="171"/>
      <c r="J65" s="171"/>
      <c r="K65" s="171"/>
      <c r="L65" s="171"/>
    </row>
    <row r="67" spans="2:12">
      <c r="B67" s="156" t="s">
        <v>46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</row>
    <row r="68" spans="2:12">
      <c r="B68" s="156" t="s">
        <v>56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</row>
    <row r="69" spans="2:12">
      <c r="B69" s="155" t="s">
        <v>55</v>
      </c>
      <c r="C69" s="155"/>
      <c r="D69" s="155"/>
      <c r="E69" s="155"/>
      <c r="F69" s="155"/>
      <c r="G69" s="155"/>
      <c r="H69" s="155"/>
      <c r="I69" s="155"/>
      <c r="J69" s="155"/>
      <c r="K69" s="155"/>
      <c r="L69" s="155"/>
    </row>
    <row r="70" spans="2:12">
      <c r="B70" s="156" t="s">
        <v>47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</row>
    <row r="71" spans="2:12">
      <c r="B71" s="156" t="s">
        <v>58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</row>
    <row r="72" spans="2:12">
      <c r="B72" s="155" t="s">
        <v>57</v>
      </c>
      <c r="C72" s="155"/>
      <c r="D72" s="155"/>
      <c r="E72" s="155"/>
      <c r="F72" s="155"/>
      <c r="G72" s="155"/>
      <c r="H72" s="155"/>
      <c r="I72" s="155"/>
      <c r="J72" s="155"/>
      <c r="K72" s="155"/>
      <c r="L72" s="155"/>
    </row>
    <row r="73" spans="2:12">
      <c r="B73" s="156" t="s">
        <v>48</v>
      </c>
      <c r="C73" s="156"/>
      <c r="D73" s="156"/>
      <c r="E73" s="156"/>
      <c r="F73" s="156"/>
      <c r="G73" s="156"/>
      <c r="H73" s="156"/>
      <c r="I73" s="156"/>
      <c r="J73" s="156"/>
      <c r="K73" s="156"/>
      <c r="L73" s="156"/>
    </row>
    <row r="74" spans="2:12">
      <c r="B74" s="156" t="s">
        <v>50</v>
      </c>
      <c r="C74" s="156"/>
      <c r="D74" s="156"/>
      <c r="E74" s="156"/>
      <c r="F74" s="156"/>
      <c r="G74" s="156"/>
      <c r="H74" s="156"/>
      <c r="I74" s="156"/>
      <c r="J74" s="156"/>
      <c r="K74" s="156"/>
      <c r="L74" s="156"/>
    </row>
    <row r="75" spans="2:12">
      <c r="B75" s="156" t="s">
        <v>59</v>
      </c>
      <c r="C75" s="156"/>
      <c r="D75" s="156"/>
      <c r="E75" s="156"/>
      <c r="F75" s="156"/>
      <c r="G75" s="156"/>
      <c r="H75" s="156"/>
      <c r="I75" s="156"/>
      <c r="J75" s="156"/>
      <c r="K75" s="156"/>
      <c r="L75" s="156"/>
    </row>
    <row r="76" spans="2:12">
      <c r="B76" s="156" t="s">
        <v>60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</row>
    <row r="77" spans="2:12">
      <c r="B77" s="156" t="s">
        <v>135</v>
      </c>
      <c r="C77" s="156"/>
      <c r="D77" s="156"/>
      <c r="E77" s="156"/>
      <c r="F77" s="156"/>
      <c r="G77" s="156"/>
      <c r="H77" s="156"/>
      <c r="I77" s="156"/>
      <c r="J77" s="156"/>
      <c r="K77" s="156"/>
      <c r="L77" s="156"/>
    </row>
    <row r="78" spans="2:12">
      <c r="B78" s="156" t="s">
        <v>61</v>
      </c>
      <c r="C78" s="156"/>
      <c r="D78" s="156"/>
      <c r="E78" s="156"/>
      <c r="F78" s="156"/>
      <c r="G78" s="156"/>
      <c r="H78" s="156"/>
      <c r="I78" s="156"/>
      <c r="J78" s="156"/>
      <c r="K78" s="156"/>
      <c r="L78" s="156"/>
    </row>
    <row r="79" spans="2:12">
      <c r="B79" s="156" t="s">
        <v>49</v>
      </c>
      <c r="C79" s="156"/>
      <c r="D79" s="156"/>
      <c r="E79" s="156"/>
      <c r="F79" s="156"/>
      <c r="G79" s="156"/>
      <c r="H79" s="156"/>
      <c r="I79" s="156"/>
      <c r="J79" s="156"/>
      <c r="K79" s="156"/>
      <c r="L79" s="156"/>
    </row>
    <row r="80" spans="2:12">
      <c r="B80" s="156" t="s">
        <v>62</v>
      </c>
      <c r="C80" s="156"/>
      <c r="D80" s="156"/>
      <c r="E80" s="156"/>
      <c r="F80" s="156"/>
      <c r="G80" s="156"/>
      <c r="H80" s="156"/>
      <c r="I80" s="156"/>
      <c r="J80" s="156"/>
      <c r="K80" s="156"/>
      <c r="L80" s="156"/>
    </row>
    <row r="81" spans="1:12">
      <c r="B81" s="156" t="s">
        <v>63</v>
      </c>
      <c r="C81" s="156"/>
      <c r="D81" s="156"/>
      <c r="E81" s="156"/>
      <c r="F81" s="156"/>
      <c r="G81" s="156"/>
      <c r="H81" s="156"/>
      <c r="I81" s="156"/>
      <c r="J81" s="156"/>
      <c r="K81" s="156"/>
      <c r="L81" s="156"/>
    </row>
    <row r="82" spans="1:12">
      <c r="B82" s="156" t="s">
        <v>64</v>
      </c>
      <c r="C82" s="156"/>
      <c r="D82" s="156"/>
      <c r="E82" s="156"/>
      <c r="F82" s="156"/>
      <c r="G82" s="156"/>
      <c r="H82" s="156"/>
      <c r="I82" s="156"/>
      <c r="J82" s="156"/>
      <c r="K82" s="156"/>
      <c r="L82" s="156"/>
    </row>
    <row r="83" spans="1:12">
      <c r="B83" s="156" t="s">
        <v>65</v>
      </c>
      <c r="C83" s="156"/>
      <c r="D83" s="156"/>
      <c r="E83" s="156"/>
      <c r="F83" s="156"/>
      <c r="G83" s="156"/>
      <c r="H83" s="156"/>
      <c r="I83" s="156"/>
      <c r="J83" s="156"/>
      <c r="K83" s="156"/>
      <c r="L83" s="156"/>
    </row>
    <row r="84" spans="1:12">
      <c r="B84" s="152" t="s">
        <v>52</v>
      </c>
      <c r="C84" s="152"/>
      <c r="D84" s="152"/>
      <c r="E84" s="152"/>
      <c r="F84" s="152"/>
      <c r="G84" s="152"/>
      <c r="H84" s="152"/>
      <c r="I84" s="152"/>
      <c r="J84" s="152"/>
      <c r="K84" s="152"/>
      <c r="L84" s="152"/>
    </row>
    <row r="85" spans="1:12">
      <c r="B85" s="156" t="s">
        <v>66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</row>
    <row r="86" spans="1:12">
      <c r="B86" s="152" t="s">
        <v>51</v>
      </c>
      <c r="C86" s="152"/>
      <c r="D86" s="152"/>
      <c r="E86" s="152"/>
      <c r="F86" s="152"/>
      <c r="G86" s="152"/>
      <c r="H86" s="152"/>
      <c r="I86" s="152"/>
      <c r="J86" s="152"/>
      <c r="K86" s="152"/>
      <c r="L86" s="152"/>
    </row>
    <row r="87" spans="1:12">
      <c r="B87" s="156" t="s">
        <v>67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</row>
    <row r="88" spans="1:12">
      <c r="B88" s="156" t="s">
        <v>68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</row>
    <row r="89" spans="1:12">
      <c r="B89" s="156" t="s">
        <v>69</v>
      </c>
      <c r="C89" s="156"/>
      <c r="D89" s="156"/>
      <c r="E89" s="156"/>
      <c r="F89" s="156"/>
      <c r="G89" s="156"/>
      <c r="H89" s="156"/>
      <c r="I89" s="156"/>
      <c r="J89" s="156"/>
      <c r="K89" s="156"/>
      <c r="L89" s="156"/>
    </row>
    <row r="90" spans="1:12">
      <c r="B90" s="156" t="s">
        <v>70</v>
      </c>
      <c r="C90" s="156"/>
      <c r="D90" s="156"/>
      <c r="E90" s="156"/>
      <c r="F90" s="156"/>
      <c r="G90" s="156"/>
      <c r="H90" s="156"/>
      <c r="I90" s="156"/>
      <c r="J90" s="156"/>
      <c r="K90" s="156"/>
      <c r="L90" s="156"/>
    </row>
    <row r="91" spans="1:12">
      <c r="B91" s="156" t="s">
        <v>71</v>
      </c>
      <c r="C91" s="156"/>
      <c r="D91" s="156"/>
      <c r="E91" s="156"/>
      <c r="F91" s="156"/>
      <c r="G91" s="156"/>
      <c r="H91" s="156"/>
      <c r="I91" s="156"/>
      <c r="J91" s="156"/>
      <c r="K91" s="156"/>
      <c r="L91" s="156"/>
    </row>
    <row r="92" spans="1:12">
      <c r="A92" s="83"/>
      <c r="B92" s="157" t="s">
        <v>83</v>
      </c>
      <c r="C92" s="157"/>
      <c r="D92" s="157"/>
      <c r="E92" s="157"/>
      <c r="F92" s="157"/>
      <c r="G92" s="157"/>
      <c r="H92" s="157"/>
      <c r="I92" s="157"/>
      <c r="J92" s="157"/>
      <c r="K92" s="157"/>
      <c r="L92" s="157"/>
    </row>
    <row r="93" spans="1:12">
      <c r="A93" s="83"/>
      <c r="B93" s="156" t="s">
        <v>84</v>
      </c>
      <c r="C93" s="156"/>
      <c r="D93" s="156"/>
      <c r="E93" s="156"/>
      <c r="F93" s="156"/>
      <c r="G93" s="156"/>
      <c r="H93" s="156"/>
      <c r="I93" s="156"/>
      <c r="J93" s="156"/>
      <c r="K93" s="156"/>
      <c r="L93" s="156"/>
    </row>
    <row r="94" spans="1:12">
      <c r="A94" s="83"/>
      <c r="B94" s="157" t="s">
        <v>85</v>
      </c>
      <c r="C94" s="157"/>
      <c r="D94" s="157"/>
      <c r="E94" s="157"/>
      <c r="F94" s="157"/>
      <c r="G94" s="157"/>
      <c r="H94" s="157"/>
      <c r="I94" s="157"/>
      <c r="J94" s="157"/>
      <c r="K94" s="157"/>
      <c r="L94" s="157"/>
    </row>
    <row r="96" spans="1:12">
      <c r="C96" s="126"/>
      <c r="D96" s="126"/>
      <c r="E96" s="126"/>
      <c r="F96" s="126"/>
      <c r="G96" s="126"/>
      <c r="H96" s="126"/>
      <c r="I96" s="126"/>
    </row>
    <row r="97" spans="3:9">
      <c r="C97" s="126"/>
      <c r="D97" s="126"/>
      <c r="E97" s="126"/>
      <c r="F97" s="126"/>
      <c r="G97" s="126"/>
      <c r="H97" s="126"/>
      <c r="I97" s="126"/>
    </row>
    <row r="98" spans="3:9">
      <c r="C98" s="126"/>
      <c r="D98" s="126"/>
      <c r="E98" s="126"/>
      <c r="F98" s="126"/>
      <c r="G98" s="126"/>
      <c r="H98" s="126"/>
      <c r="I98" s="126"/>
    </row>
    <row r="99" spans="3:9">
      <c r="C99" s="126"/>
      <c r="D99" s="126"/>
      <c r="E99" s="126"/>
      <c r="F99" s="126"/>
      <c r="G99" s="126"/>
      <c r="H99" s="126"/>
      <c r="I99" s="126"/>
    </row>
    <row r="100" spans="3:9">
      <c r="C100" s="126"/>
      <c r="D100" s="126"/>
      <c r="E100" s="126"/>
      <c r="F100" s="126"/>
      <c r="G100" s="126"/>
      <c r="H100" s="126"/>
      <c r="I100" s="126"/>
    </row>
    <row r="101" spans="3:9">
      <c r="C101" s="126"/>
      <c r="D101" s="126"/>
      <c r="E101" s="126"/>
      <c r="F101" s="126"/>
      <c r="G101" s="126"/>
      <c r="H101" s="126"/>
      <c r="I101" s="126"/>
    </row>
    <row r="102" spans="3:9">
      <c r="C102" s="126"/>
      <c r="D102" s="126"/>
      <c r="E102" s="126"/>
      <c r="F102" s="126"/>
      <c r="G102" s="126"/>
      <c r="H102" s="126"/>
      <c r="I102" s="126"/>
    </row>
    <row r="103" spans="3:9" ht="15.6" customHeight="1">
      <c r="C103" s="126"/>
      <c r="D103" s="126"/>
      <c r="E103" s="126"/>
      <c r="F103" s="126"/>
      <c r="G103" s="126"/>
      <c r="H103" s="126"/>
      <c r="I103" s="126"/>
    </row>
    <row r="104" spans="3:9" ht="15.6" customHeight="1">
      <c r="C104" s="126"/>
      <c r="D104" s="126"/>
      <c r="E104" s="126"/>
      <c r="F104" s="126"/>
      <c r="G104" s="126"/>
      <c r="H104" s="126"/>
      <c r="I104" s="126"/>
    </row>
    <row r="105" spans="3:9">
      <c r="C105" s="126"/>
      <c r="D105" s="126"/>
      <c r="E105" s="126"/>
      <c r="F105" s="126"/>
      <c r="G105" s="126"/>
      <c r="H105" s="126"/>
      <c r="I105" s="126"/>
    </row>
    <row r="111" spans="3:9" ht="15.6" customHeight="1"/>
  </sheetData>
  <sheetProtection selectLockedCells="1"/>
  <mergeCells count="86">
    <mergeCell ref="B84:L84"/>
    <mergeCell ref="B85:L85"/>
    <mergeCell ref="B80:L80"/>
    <mergeCell ref="E60:M60"/>
    <mergeCell ref="K48:L48"/>
    <mergeCell ref="B69:L69"/>
    <mergeCell ref="B58:L58"/>
    <mergeCell ref="B54:L54"/>
    <mergeCell ref="B67:L67"/>
    <mergeCell ref="B68:L68"/>
    <mergeCell ref="B65:L65"/>
    <mergeCell ref="J11:L11"/>
    <mergeCell ref="B60:C64"/>
    <mergeCell ref="B19:F19"/>
    <mergeCell ref="B15:J15"/>
    <mergeCell ref="C48:E48"/>
    <mergeCell ref="B56:L56"/>
    <mergeCell ref="D61:J61"/>
    <mergeCell ref="K61:M61"/>
    <mergeCell ref="B29:F29"/>
    <mergeCell ref="B37:I37"/>
    <mergeCell ref="B43:J43"/>
    <mergeCell ref="B46:L46"/>
    <mergeCell ref="B45:J45"/>
    <mergeCell ref="B39:J39"/>
    <mergeCell ref="B40:J40"/>
    <mergeCell ref="B41:J41"/>
    <mergeCell ref="B94:L94"/>
    <mergeCell ref="B77:L77"/>
    <mergeCell ref="B78:L78"/>
    <mergeCell ref="B79:L79"/>
    <mergeCell ref="B70:L70"/>
    <mergeCell ref="B71:L71"/>
    <mergeCell ref="B72:L72"/>
    <mergeCell ref="B73:L73"/>
    <mergeCell ref="B74:L74"/>
    <mergeCell ref="B75:L75"/>
    <mergeCell ref="B76:L76"/>
    <mergeCell ref="B81:L81"/>
    <mergeCell ref="B82:L82"/>
    <mergeCell ref="B83:L83"/>
    <mergeCell ref="B93:L93"/>
    <mergeCell ref="B92:L92"/>
    <mergeCell ref="B91:L91"/>
    <mergeCell ref="B86:L86"/>
    <mergeCell ref="B87:L87"/>
    <mergeCell ref="B88:L88"/>
    <mergeCell ref="B89:L89"/>
    <mergeCell ref="B90:L90"/>
    <mergeCell ref="B28:I28"/>
    <mergeCell ref="B24:I24"/>
    <mergeCell ref="B20:I20"/>
    <mergeCell ref="B22:I22"/>
    <mergeCell ref="B23:I23"/>
    <mergeCell ref="B27:I27"/>
    <mergeCell ref="B26:I26"/>
    <mergeCell ref="B25:I25"/>
    <mergeCell ref="B12:L12"/>
    <mergeCell ref="B13:J13"/>
    <mergeCell ref="B14:J14"/>
    <mergeCell ref="B17:J17"/>
    <mergeCell ref="B16:J16"/>
    <mergeCell ref="C96:I105"/>
    <mergeCell ref="A1:L1"/>
    <mergeCell ref="E2:L2"/>
    <mergeCell ref="D62:I62"/>
    <mergeCell ref="E3:J3"/>
    <mergeCell ref="E4:J4"/>
    <mergeCell ref="K49:L49"/>
    <mergeCell ref="C49:E49"/>
    <mergeCell ref="G49:H49"/>
    <mergeCell ref="G48:H48"/>
    <mergeCell ref="B47:L47"/>
    <mergeCell ref="J8:L8"/>
    <mergeCell ref="J10:L10"/>
    <mergeCell ref="B57:L57"/>
    <mergeCell ref="B55:L55"/>
    <mergeCell ref="F11:G11"/>
    <mergeCell ref="J9:L9"/>
    <mergeCell ref="B2:C6"/>
    <mergeCell ref="E7:G7"/>
    <mergeCell ref="F9:G9"/>
    <mergeCell ref="F10:G10"/>
    <mergeCell ref="F8:G8"/>
    <mergeCell ref="A7:C7"/>
    <mergeCell ref="I7:L7"/>
  </mergeCells>
  <dataValidations disablePrompts="1" count="3">
    <dataValidation type="custom" showInputMessage="1" showErrorMessage="1" errorTitle="VERIFICAR NÚMERO DE TELEFONO" error="Verifica que tenga 9 digitos sin espacio" sqref="J8:L8" xr:uid="{CC0405B2-A74A-4E8F-BF03-C34BEE695B67}">
      <formula1>(LEN(C11)=9)</formula1>
    </dataValidation>
    <dataValidation type="custom" showInputMessage="1" showErrorMessage="1" errorTitle="INGRESO APELLIDOS" error="Ingresa los apellidos del cliente" sqref="C10" xr:uid="{F51947C3-10E8-4E93-BD41-F6C41D0D7075}">
      <formula1>C9&lt;&gt;0</formula1>
    </dataValidation>
    <dataValidation type="custom" showInputMessage="1" showErrorMessage="1" errorTitle="INGRESA EL NOMBRE" error="Ingresa al menos 1 nombre del cliente" sqref="C9" xr:uid="{A5DB9636-5F0C-4D38-B418-FB4E28963B0E}">
      <formula1>C8&lt;&gt;0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1" fitToWidth="2" fitToHeight="2" orientation="portrait" horizontalDpi="360" verticalDpi="360" r:id="rId1"/>
  <rowBreaks count="1" manualBreakCount="1">
    <brk id="59" max="12" man="1"/>
  </rowBreaks>
  <cellWatches>
    <cellWatch r="K17"/>
  </cellWatches>
  <ignoredErrors>
    <ignoredError sqref="J2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AG50"/>
  <sheetViews>
    <sheetView topLeftCell="A4" zoomScale="110" zoomScaleNormal="110" workbookViewId="0">
      <selection activeCell="F42" sqref="F42"/>
    </sheetView>
  </sheetViews>
  <sheetFormatPr baseColWidth="10" defaultRowHeight="14.4"/>
  <cols>
    <col min="1" max="1" width="2.6640625" style="1" customWidth="1"/>
    <col min="2" max="2" width="19.44140625" style="1" customWidth="1"/>
    <col min="3" max="4" width="11.33203125" style="2" customWidth="1"/>
    <col min="5" max="5" width="12.109375" style="2" customWidth="1"/>
    <col min="6" max="7" width="11.44140625" style="2"/>
    <col min="8" max="9" width="11.44140625" style="1"/>
    <col min="10" max="10" width="13.6640625" style="1" customWidth="1"/>
    <col min="11" max="11" width="15.33203125" style="1" customWidth="1"/>
    <col min="12" max="32" width="11.44140625" style="1"/>
  </cols>
  <sheetData>
    <row r="3" spans="2:32">
      <c r="B3" s="174" t="s">
        <v>12</v>
      </c>
      <c r="C3" s="174"/>
      <c r="D3" s="174"/>
      <c r="E3" s="174"/>
      <c r="F3" s="174"/>
      <c r="G3" s="174"/>
    </row>
    <row r="6" spans="2:32" ht="15" customHeight="1">
      <c r="B6" s="68" t="s">
        <v>87</v>
      </c>
      <c r="C6" s="68" t="s">
        <v>101</v>
      </c>
      <c r="D6" s="68" t="s">
        <v>102</v>
      </c>
      <c r="E6" s="68" t="s">
        <v>103</v>
      </c>
      <c r="F6" s="68" t="s">
        <v>8</v>
      </c>
    </row>
    <row r="7" spans="2:32" ht="15" customHeight="1">
      <c r="B7" s="5" t="s">
        <v>95</v>
      </c>
      <c r="C7" s="7">
        <v>7</v>
      </c>
      <c r="D7" s="7"/>
      <c r="E7" s="7">
        <v>1</v>
      </c>
      <c r="F7" s="66">
        <f>SUM(C7:E7)</f>
        <v>8</v>
      </c>
    </row>
    <row r="8" spans="2:32" ht="15" customHeight="1">
      <c r="B8" s="5" t="s">
        <v>94</v>
      </c>
      <c r="C8" s="64">
        <v>110</v>
      </c>
      <c r="D8" s="64"/>
      <c r="E8" s="64">
        <v>6</v>
      </c>
      <c r="F8" s="67">
        <f>SUM(C8:E8)</f>
        <v>116</v>
      </c>
      <c r="J8" s="172" t="s">
        <v>82</v>
      </c>
      <c r="K8" s="172"/>
      <c r="M8" s="172" t="s">
        <v>106</v>
      </c>
      <c r="N8" s="172"/>
    </row>
    <row r="9" spans="2:32" ht="15" customHeight="1">
      <c r="B9" s="5" t="s">
        <v>86</v>
      </c>
      <c r="C9" s="63">
        <v>1.1539999999999999</v>
      </c>
      <c r="D9" s="63"/>
      <c r="E9" s="63">
        <v>3.4000000000000002E-2</v>
      </c>
      <c r="F9" s="65">
        <f>SUM(C9:E9)</f>
        <v>1.1879999999999999</v>
      </c>
      <c r="G9" s="1"/>
      <c r="J9" s="9" t="s">
        <v>88</v>
      </c>
      <c r="K9" s="9" t="s">
        <v>54</v>
      </c>
      <c r="M9" s="9" t="s">
        <v>88</v>
      </c>
      <c r="N9" s="9" t="s">
        <v>54</v>
      </c>
      <c r="Y9"/>
      <c r="Z9"/>
      <c r="AA9"/>
      <c r="AB9"/>
      <c r="AC9"/>
      <c r="AD9"/>
      <c r="AE9"/>
      <c r="AF9"/>
    </row>
    <row r="10" spans="2:32" ht="15" customHeight="1">
      <c r="B10" s="61" t="s">
        <v>0</v>
      </c>
      <c r="C10" s="62">
        <v>6.36</v>
      </c>
      <c r="D10" s="62">
        <v>8.0299999999999994</v>
      </c>
      <c r="E10" s="62">
        <v>6</v>
      </c>
      <c r="F10" s="1"/>
      <c r="G10" s="3"/>
      <c r="H10" s="3"/>
      <c r="J10" s="56" t="s">
        <v>107</v>
      </c>
      <c r="K10" s="70">
        <v>250</v>
      </c>
      <c r="M10" s="56" t="s">
        <v>107</v>
      </c>
      <c r="N10" s="70">
        <v>250</v>
      </c>
      <c r="Y10"/>
      <c r="Z10"/>
      <c r="AA10"/>
      <c r="AB10"/>
      <c r="AC10"/>
      <c r="AD10"/>
      <c r="AE10"/>
      <c r="AF10"/>
    </row>
    <row r="11" spans="2:32" ht="15" hidden="1" customHeight="1">
      <c r="B11" s="40" t="s">
        <v>72</v>
      </c>
      <c r="C11" s="41"/>
      <c r="D11" s="41"/>
      <c r="E11" s="41"/>
      <c r="F11" s="1"/>
      <c r="G11" s="3"/>
      <c r="H11" s="3"/>
      <c r="J11" s="56">
        <v>0.1</v>
      </c>
      <c r="K11" s="70"/>
      <c r="M11" s="56">
        <v>0.1</v>
      </c>
      <c r="N11" s="70"/>
      <c r="Y11"/>
      <c r="Z11"/>
      <c r="AA11"/>
      <c r="AB11"/>
      <c r="AC11"/>
      <c r="AD11"/>
      <c r="AE11"/>
      <c r="AF11"/>
    </row>
    <row r="12" spans="2:32">
      <c r="B12" s="26" t="s">
        <v>1</v>
      </c>
      <c r="C12" s="7">
        <v>100</v>
      </c>
      <c r="D12" s="7">
        <v>1</v>
      </c>
      <c r="E12" s="7">
        <v>50</v>
      </c>
      <c r="F12" s="66">
        <f>SUM(C12:E12)</f>
        <v>151</v>
      </c>
      <c r="G12" s="1"/>
      <c r="J12" s="56" t="s">
        <v>113</v>
      </c>
      <c r="K12" s="70">
        <v>350</v>
      </c>
      <c r="M12" s="56" t="s">
        <v>113</v>
      </c>
      <c r="N12" s="70">
        <v>325</v>
      </c>
      <c r="Y12"/>
      <c r="Z12"/>
      <c r="AA12"/>
      <c r="AB12"/>
      <c r="AC12"/>
      <c r="AD12"/>
      <c r="AE12"/>
      <c r="AF12"/>
    </row>
    <row r="13" spans="2:32">
      <c r="B13" s="17" t="s">
        <v>2</v>
      </c>
      <c r="C13" s="18">
        <f t="shared" ref="C13:E13" si="0">C10*C12</f>
        <v>636</v>
      </c>
      <c r="D13" s="18">
        <f t="shared" si="0"/>
        <v>8.0299999999999994</v>
      </c>
      <c r="E13" s="18">
        <f t="shared" si="0"/>
        <v>300</v>
      </c>
      <c r="F13" s="18">
        <f>SUM(C13:E13)</f>
        <v>944.03</v>
      </c>
      <c r="G13" s="1"/>
      <c r="J13" s="56" t="s">
        <v>114</v>
      </c>
      <c r="K13" s="70">
        <v>350</v>
      </c>
      <c r="M13" s="56" t="s">
        <v>114</v>
      </c>
      <c r="N13" s="70">
        <v>325</v>
      </c>
      <c r="Y13"/>
      <c r="Z13"/>
      <c r="AA13"/>
      <c r="AB13"/>
      <c r="AC13"/>
      <c r="AD13"/>
      <c r="AE13"/>
      <c r="AF13"/>
    </row>
    <row r="14" spans="2:32" ht="16.5" hidden="1" customHeight="1">
      <c r="B14" s="42" t="s">
        <v>2</v>
      </c>
      <c r="C14" s="43">
        <f>(MAX(C10:C11))*C12</f>
        <v>636</v>
      </c>
      <c r="D14" s="43">
        <f t="shared" ref="D14:E14" si="1">(MAX(D10:D11))*D12</f>
        <v>8.0299999999999994</v>
      </c>
      <c r="E14" s="43">
        <f t="shared" si="1"/>
        <v>300</v>
      </c>
      <c r="F14" s="43">
        <f>SUM(C14:E14)</f>
        <v>944.03</v>
      </c>
      <c r="G14" s="1"/>
      <c r="J14" s="56">
        <v>0.1</v>
      </c>
      <c r="K14" s="70"/>
      <c r="M14" s="56">
        <v>0.1</v>
      </c>
      <c r="N14" s="70"/>
      <c r="Y14"/>
      <c r="Z14"/>
      <c r="AA14"/>
      <c r="AB14"/>
      <c r="AC14"/>
      <c r="AD14"/>
      <c r="AE14"/>
      <c r="AF14"/>
    </row>
    <row r="15" spans="2:32" ht="15" customHeight="1">
      <c r="B15" s="5" t="s">
        <v>3</v>
      </c>
      <c r="C15" s="8">
        <f>C13/$F$13</f>
        <v>0.67370740336641843</v>
      </c>
      <c r="D15" s="8">
        <f>D13/$F$13</f>
        <v>8.5060856116860682E-3</v>
      </c>
      <c r="E15" s="8">
        <f>E13/$F$13</f>
        <v>0.31778651102189548</v>
      </c>
      <c r="F15" s="7" t="s">
        <v>8</v>
      </c>
      <c r="G15" s="28"/>
      <c r="J15" s="56" t="s">
        <v>115</v>
      </c>
      <c r="K15" s="70">
        <v>325</v>
      </c>
      <c r="M15" s="56" t="s">
        <v>115</v>
      </c>
      <c r="N15" s="70">
        <v>300</v>
      </c>
      <c r="Y15"/>
      <c r="Z15"/>
      <c r="AA15"/>
      <c r="AB15"/>
      <c r="AC15"/>
      <c r="AD15"/>
      <c r="AE15"/>
      <c r="AF15"/>
    </row>
    <row r="16" spans="2:32">
      <c r="B16" s="26" t="s">
        <v>4</v>
      </c>
      <c r="C16" s="6">
        <f>$F$16*C15</f>
        <v>168.07652299185403</v>
      </c>
      <c r="D16" s="6">
        <f>$F$16*D15</f>
        <v>2.1220982384034399</v>
      </c>
      <c r="E16" s="6">
        <f>$F$16*E15</f>
        <v>79.281378769742474</v>
      </c>
      <c r="F16" s="27">
        <f>+J25</f>
        <v>249.47999999999996</v>
      </c>
      <c r="G16" s="57"/>
      <c r="J16" s="56" t="s">
        <v>116</v>
      </c>
      <c r="K16" s="70">
        <v>300</v>
      </c>
      <c r="M16" s="56" t="s">
        <v>116</v>
      </c>
      <c r="N16" s="70">
        <v>275</v>
      </c>
      <c r="Y16"/>
      <c r="Z16"/>
      <c r="AA16"/>
      <c r="AB16"/>
      <c r="AC16"/>
      <c r="AD16"/>
      <c r="AE16"/>
      <c r="AF16"/>
    </row>
    <row r="17" spans="1:33">
      <c r="B17" s="17" t="s">
        <v>5</v>
      </c>
      <c r="C17" s="18">
        <f>C13+C16</f>
        <v>804.07652299185406</v>
      </c>
      <c r="D17" s="18">
        <f t="shared" ref="D17:E17" si="2">D13+D16</f>
        <v>10.15209823840344</v>
      </c>
      <c r="E17" s="18">
        <f t="shared" si="2"/>
        <v>379.28137876974245</v>
      </c>
      <c r="F17" s="18">
        <f>SUM(C17:E17)</f>
        <v>1193.51</v>
      </c>
      <c r="G17" s="1"/>
      <c r="J17" s="56" t="s">
        <v>108</v>
      </c>
      <c r="K17" s="70">
        <v>280</v>
      </c>
      <c r="M17" s="56" t="s">
        <v>108</v>
      </c>
      <c r="N17" s="70">
        <v>250</v>
      </c>
      <c r="W17"/>
      <c r="X17"/>
      <c r="Y17"/>
      <c r="Z17"/>
      <c r="AA17"/>
      <c r="AB17"/>
      <c r="AC17"/>
      <c r="AD17"/>
      <c r="AE17"/>
      <c r="AF17"/>
    </row>
    <row r="18" spans="1:33" ht="14.25" hidden="1" customHeight="1">
      <c r="B18" s="42" t="s">
        <v>73</v>
      </c>
      <c r="C18" s="43">
        <f t="shared" ref="C18:E18" si="3">C14+C16</f>
        <v>804.07652299185406</v>
      </c>
      <c r="D18" s="43">
        <f t="shared" si="3"/>
        <v>10.15209823840344</v>
      </c>
      <c r="E18" s="43">
        <f t="shared" si="3"/>
        <v>379.28137876974245</v>
      </c>
      <c r="F18" s="43">
        <f>SUM(C18:E18)</f>
        <v>1193.51</v>
      </c>
      <c r="G18" s="1"/>
      <c r="Y18"/>
      <c r="Z18"/>
      <c r="AA18"/>
      <c r="AB18"/>
      <c r="AC18"/>
      <c r="AD18"/>
      <c r="AE18"/>
      <c r="AF18"/>
    </row>
    <row r="19" spans="1:33" ht="14.25" customHeight="1">
      <c r="B19" s="26" t="s">
        <v>6</v>
      </c>
      <c r="C19" s="6">
        <f>$F$19*C15</f>
        <v>33.685370168320922</v>
      </c>
      <c r="D19" s="6">
        <f>$F$19*D15</f>
        <v>0.42530428058430342</v>
      </c>
      <c r="E19" s="6">
        <f>$F$19*E15</f>
        <v>15.889325551094775</v>
      </c>
      <c r="F19" s="27">
        <f>IF(F13&lt;5000,50,100)</f>
        <v>50</v>
      </c>
      <c r="G19" s="1"/>
      <c r="Y19"/>
      <c r="Z19"/>
      <c r="AA19"/>
      <c r="AB19"/>
      <c r="AC19"/>
      <c r="AD19"/>
      <c r="AE19"/>
      <c r="AF19"/>
    </row>
    <row r="20" spans="1:33">
      <c r="B20" s="17" t="s">
        <v>7</v>
      </c>
      <c r="C20" s="18">
        <f t="shared" ref="C20:E20" si="4">C17+C19</f>
        <v>837.76189316017496</v>
      </c>
      <c r="D20" s="18">
        <f t="shared" si="4"/>
        <v>10.577402518987743</v>
      </c>
      <c r="E20" s="18">
        <f t="shared" si="4"/>
        <v>395.17070432083722</v>
      </c>
      <c r="F20" s="18">
        <f>SUM(C20:E20)</f>
        <v>1243.5099999999998</v>
      </c>
      <c r="G20" s="1"/>
      <c r="J20" s="9" t="s">
        <v>88</v>
      </c>
      <c r="K20" s="9" t="s">
        <v>109</v>
      </c>
      <c r="Y20"/>
      <c r="Z20"/>
      <c r="AA20"/>
      <c r="AB20"/>
      <c r="AC20"/>
      <c r="AD20"/>
      <c r="AE20"/>
      <c r="AF20"/>
    </row>
    <row r="21" spans="1:33" ht="18.75" hidden="1" customHeight="1">
      <c r="B21" s="42" t="s">
        <v>74</v>
      </c>
      <c r="C21" s="43">
        <f>C18+C19</f>
        <v>837.76189316017496</v>
      </c>
      <c r="D21" s="43"/>
      <c r="E21" s="43"/>
      <c r="F21" s="43">
        <f>SUM(C21:E21)</f>
        <v>837.76189316017496</v>
      </c>
      <c r="J21" s="7"/>
      <c r="K21" s="7"/>
    </row>
    <row r="22" spans="1:33">
      <c r="J22" s="71">
        <f>+F9</f>
        <v>1.1879999999999999</v>
      </c>
      <c r="K22" s="72">
        <f>J22*K13</f>
        <v>415.79999999999995</v>
      </c>
    </row>
    <row r="23" spans="1:33">
      <c r="B23" s="173" t="s">
        <v>11</v>
      </c>
      <c r="C23" s="173"/>
      <c r="D23" s="173"/>
      <c r="E23" s="173"/>
      <c r="F23" s="173"/>
      <c r="G23" s="173"/>
    </row>
    <row r="24" spans="1:33">
      <c r="J24" s="9" t="s">
        <v>110</v>
      </c>
      <c r="K24" s="9" t="s">
        <v>111</v>
      </c>
    </row>
    <row r="25" spans="1:33">
      <c r="J25" s="72">
        <f>K22*60%</f>
        <v>249.47999999999996</v>
      </c>
      <c r="K25" s="72">
        <f>K22*40%</f>
        <v>166.32</v>
      </c>
      <c r="AG25" s="1"/>
    </row>
    <row r="26" spans="1:33">
      <c r="C26" s="11">
        <v>0.04</v>
      </c>
      <c r="D26" s="11">
        <v>0</v>
      </c>
      <c r="E26" s="11">
        <v>0</v>
      </c>
      <c r="F26" s="9" t="s">
        <v>8</v>
      </c>
      <c r="G26" s="1"/>
      <c r="AG26" s="1"/>
    </row>
    <row r="27" spans="1:33">
      <c r="B27" s="9" t="s">
        <v>9</v>
      </c>
      <c r="C27" s="6">
        <f>C20*C26</f>
        <v>33.510475726407002</v>
      </c>
      <c r="D27" s="6">
        <f>D20*D26</f>
        <v>0</v>
      </c>
      <c r="E27" s="6">
        <f>E20*E26</f>
        <v>0</v>
      </c>
      <c r="F27" s="10">
        <f>SUM(C27:E27)</f>
        <v>33.510475726407002</v>
      </c>
      <c r="G27" s="1"/>
    </row>
    <row r="28" spans="1:33">
      <c r="B28" s="114" t="s">
        <v>122</v>
      </c>
      <c r="C28" s="115">
        <v>0</v>
      </c>
      <c r="D28" s="116">
        <f>ROUND((MAX(D17:D18)+D26)*D27,10)</f>
        <v>0</v>
      </c>
      <c r="E28" s="6"/>
      <c r="F28" s="10">
        <v>0</v>
      </c>
      <c r="G28" s="1"/>
    </row>
    <row r="29" spans="1:33">
      <c r="B29" s="16" t="s">
        <v>13</v>
      </c>
      <c r="C29" s="13">
        <f>((MAX(C20:C21))+C27)*16%</f>
        <v>139.40357902185312</v>
      </c>
      <c r="D29" s="13">
        <f>((MAX(D20:D21))+D27)*16%</f>
        <v>1.6923844030380388</v>
      </c>
      <c r="E29" s="13">
        <f>((MAX(E20:E21))+E27)*16%</f>
        <v>63.227312691333957</v>
      </c>
      <c r="F29" s="10">
        <f>SUM(C29:E29)</f>
        <v>204.32327611622512</v>
      </c>
      <c r="G29" s="12"/>
      <c r="J29" s="12"/>
      <c r="K29" s="12"/>
      <c r="Y29"/>
      <c r="Z29"/>
      <c r="AA29"/>
      <c r="AB29"/>
      <c r="AC29"/>
      <c r="AD29"/>
      <c r="AE29"/>
      <c r="AF29"/>
    </row>
    <row r="30" spans="1:33">
      <c r="B30" s="16" t="s">
        <v>14</v>
      </c>
      <c r="C30" s="15">
        <f>((MAX(C20:C21))+C27)*2%</f>
        <v>17.42544737773164</v>
      </c>
      <c r="D30" s="15">
        <f>((MAX(D20:D21))+D27)*2%</f>
        <v>0.21154805037975485</v>
      </c>
      <c r="E30" s="15">
        <f>((MAX(E20:E21))+E27)*2%</f>
        <v>7.9034140864167446</v>
      </c>
      <c r="F30" s="10">
        <f>SUM(C30:E30)</f>
        <v>25.54040951452814</v>
      </c>
      <c r="G30" s="12"/>
      <c r="J30" s="12"/>
      <c r="K30" s="12"/>
      <c r="Y30"/>
      <c r="Z30"/>
      <c r="AA30"/>
      <c r="AB30"/>
      <c r="AC30"/>
      <c r="AD30"/>
      <c r="AE30"/>
      <c r="AF30"/>
    </row>
    <row r="31" spans="1:33" s="14" customFormat="1">
      <c r="A31" s="12"/>
      <c r="B31" s="16" t="s">
        <v>10</v>
      </c>
      <c r="C31" s="15">
        <f>(C20+C27+C29+C30)*3.5%</f>
        <v>35.983548835015839</v>
      </c>
      <c r="D31" s="15">
        <f>(D20+D27+D29+D30)*3.5%</f>
        <v>0.43684672403419378</v>
      </c>
      <c r="E31" s="15">
        <f>(E20+E27+E29+E30)*3.5%</f>
        <v>16.320550088450577</v>
      </c>
      <c r="F31" s="10">
        <f>SUM(C31:E31)</f>
        <v>52.74094564750061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33" s="14" customFormat="1">
      <c r="A32" s="12"/>
      <c r="B32" s="19" t="s">
        <v>8</v>
      </c>
      <c r="C32" s="20">
        <f t="shared" ref="C32:E32" si="5">SUM(C27:C31)</f>
        <v>226.3230509610076</v>
      </c>
      <c r="D32" s="20">
        <f t="shared" si="5"/>
        <v>2.3407791774519877</v>
      </c>
      <c r="E32" s="20">
        <f t="shared" si="5"/>
        <v>87.451276866201269</v>
      </c>
      <c r="F32" s="18">
        <f>SUM(C32:E32)</f>
        <v>316.11510700466084</v>
      </c>
      <c r="G32" s="1"/>
      <c r="H32" s="12"/>
      <c r="I32" s="12"/>
      <c r="J32" s="5" t="s">
        <v>112</v>
      </c>
      <c r="K32" s="5">
        <v>3.7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32" s="14" customFormat="1">
      <c r="A33" s="12"/>
      <c r="B33" s="1"/>
      <c r="C33" s="2"/>
      <c r="D33" s="2"/>
      <c r="E33" s="2"/>
      <c r="F33" s="2"/>
      <c r="G33" s="2"/>
      <c r="H33" s="12"/>
      <c r="I33" s="12"/>
      <c r="J33" s="1"/>
      <c r="K33" s="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32">
      <c r="Y34"/>
      <c r="Z34"/>
      <c r="AA34"/>
      <c r="AB34"/>
      <c r="AC34"/>
      <c r="AD34"/>
      <c r="AE34"/>
      <c r="AF34"/>
    </row>
    <row r="35" spans="1:32">
      <c r="AD35"/>
      <c r="AE35"/>
      <c r="AF35"/>
    </row>
    <row r="36" spans="1:32">
      <c r="B36" s="175" t="s">
        <v>16</v>
      </c>
      <c r="C36" s="175"/>
      <c r="D36" s="175"/>
      <c r="E36" s="175"/>
      <c r="F36" s="175"/>
      <c r="G36" s="175"/>
    </row>
    <row r="38" spans="1:32">
      <c r="C38" s="21">
        <f>+C15</f>
        <v>0.67370740336641843</v>
      </c>
      <c r="D38" s="21">
        <f>+D15</f>
        <v>8.5060856116860682E-3</v>
      </c>
      <c r="E38" s="21">
        <f>+E15</f>
        <v>0.31778651102189548</v>
      </c>
      <c r="F38" s="7" t="s">
        <v>8</v>
      </c>
      <c r="G38" s="1"/>
    </row>
    <row r="39" spans="1:32">
      <c r="B39" s="26" t="s">
        <v>15</v>
      </c>
      <c r="C39" s="23">
        <f>$F$39*C38</f>
        <v>112.0510153279027</v>
      </c>
      <c r="D39" s="23">
        <f>$F$39*D38</f>
        <v>1.4147321589356268</v>
      </c>
      <c r="E39" s="23">
        <f>$F$39*E38</f>
        <v>52.854252513161654</v>
      </c>
      <c r="F39" s="27">
        <f>+K25</f>
        <v>166.32</v>
      </c>
      <c r="G39" s="57"/>
    </row>
    <row r="40" spans="1:32">
      <c r="C40" s="4"/>
      <c r="D40" s="4"/>
      <c r="E40" s="4"/>
      <c r="F40" s="4"/>
      <c r="G40" s="4"/>
      <c r="Y40"/>
      <c r="Z40"/>
      <c r="AA40"/>
      <c r="AB40"/>
      <c r="AC40"/>
      <c r="AD40"/>
      <c r="AE40"/>
      <c r="AF40"/>
    </row>
    <row r="41" spans="1:32">
      <c r="Y41"/>
      <c r="Z41"/>
      <c r="AA41"/>
      <c r="AB41"/>
      <c r="AC41"/>
      <c r="AD41"/>
      <c r="AE41"/>
      <c r="AF41"/>
    </row>
    <row r="42" spans="1:32" s="1" customFormat="1">
      <c r="B42" s="69" t="s">
        <v>17</v>
      </c>
      <c r="C42" s="69"/>
      <c r="D42" s="69"/>
      <c r="E42" s="69"/>
      <c r="F42" s="69"/>
      <c r="G42" s="69"/>
    </row>
    <row r="44" spans="1:32">
      <c r="B44" s="25" t="s">
        <v>15</v>
      </c>
      <c r="C44" s="7" t="str">
        <f>C6</f>
        <v xml:space="preserve">Kids Car Seat Belt Pillow </v>
      </c>
      <c r="D44" s="7" t="str">
        <f>D6</f>
        <v>Car Headrest</v>
      </c>
      <c r="E44" s="7" t="str">
        <f>E6</f>
        <v>Bluetooth sleep mask</v>
      </c>
      <c r="G44" s="1"/>
    </row>
    <row r="45" spans="1:32">
      <c r="B45" s="26" t="s">
        <v>19</v>
      </c>
      <c r="C45" s="23">
        <f>C17+C32+C39</f>
        <v>1142.4505892807642</v>
      </c>
      <c r="D45" s="23">
        <f t="shared" ref="D45:E45" si="6">D17+D32+D39</f>
        <v>13.907609574791055</v>
      </c>
      <c r="E45" s="23">
        <f t="shared" si="6"/>
        <v>519.5869081491054</v>
      </c>
      <c r="F45" s="23">
        <f>SUM(C45:E45)</f>
        <v>1675.9451070046607</v>
      </c>
      <c r="G45" s="1"/>
    </row>
    <row r="46" spans="1:32">
      <c r="B46" s="5" t="s">
        <v>1</v>
      </c>
      <c r="C46" s="24">
        <f>+C12</f>
        <v>100</v>
      </c>
      <c r="D46" s="24">
        <f>+D12</f>
        <v>1</v>
      </c>
      <c r="E46" s="24">
        <f>+E12</f>
        <v>50</v>
      </c>
      <c r="G46" s="1"/>
      <c r="Y46"/>
      <c r="Z46"/>
      <c r="AA46"/>
      <c r="AB46"/>
      <c r="AC46"/>
      <c r="AD46"/>
      <c r="AE46"/>
      <c r="AF46"/>
    </row>
    <row r="47" spans="1:32">
      <c r="B47" s="22" t="s">
        <v>18</v>
      </c>
      <c r="C47" s="23">
        <f>C45/C46</f>
        <v>11.424505892807643</v>
      </c>
      <c r="D47" s="23">
        <f t="shared" ref="D47:E47" si="7">D45/D46</f>
        <v>13.907609574791055</v>
      </c>
      <c r="E47" s="23">
        <f t="shared" si="7"/>
        <v>10.391738162982108</v>
      </c>
      <c r="G47" s="1"/>
      <c r="Y47"/>
      <c r="Z47"/>
      <c r="AA47"/>
      <c r="AB47"/>
      <c r="AC47"/>
      <c r="AD47"/>
      <c r="AE47"/>
      <c r="AF47"/>
    </row>
    <row r="48" spans="1:32" s="82" customFormat="1">
      <c r="A48" s="78"/>
      <c r="B48" s="80" t="s">
        <v>20</v>
      </c>
      <c r="C48" s="79">
        <f>C47*$K$32</f>
        <v>42.270671803388282</v>
      </c>
      <c r="D48" s="79">
        <f t="shared" ref="D48:E48" si="8">D47*$K$32</f>
        <v>51.458155426726904</v>
      </c>
      <c r="E48" s="79">
        <f t="shared" si="8"/>
        <v>38.449431203033804</v>
      </c>
      <c r="F48" s="81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</row>
    <row r="49" spans="25:32">
      <c r="Y49"/>
      <c r="Z49"/>
      <c r="AA49"/>
      <c r="AB49"/>
      <c r="AC49"/>
      <c r="AD49"/>
      <c r="AE49"/>
      <c r="AF49"/>
    </row>
    <row r="50" spans="25:32">
      <c r="Y50"/>
      <c r="Z50"/>
      <c r="AA50"/>
      <c r="AB50"/>
      <c r="AC50"/>
      <c r="AD50"/>
      <c r="AE50"/>
      <c r="AF50"/>
    </row>
  </sheetData>
  <mergeCells count="5">
    <mergeCell ref="J8:K8"/>
    <mergeCell ref="M8:N8"/>
    <mergeCell ref="B23:G23"/>
    <mergeCell ref="B3:G3"/>
    <mergeCell ref="B36:G36"/>
  </mergeCells>
  <phoneticPr fontId="15" type="noConversion"/>
  <pageMargins left="0.7" right="0.7" top="0.75" bottom="0.75" header="0.3" footer="0.3"/>
  <pageSetup orientation="portrait" r:id="rId1"/>
  <cellWatches>
    <cellWatch r="F32"/>
  </cellWatch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2024-08-17T18:43:06Z</cp:lastPrinted>
  <dcterms:created xsi:type="dcterms:W3CDTF">2022-02-19T20:43:21Z</dcterms:created>
  <dcterms:modified xsi:type="dcterms:W3CDTF">2026-06-11T22:55:45Z</dcterms:modified>
</cp:coreProperties>
</file>