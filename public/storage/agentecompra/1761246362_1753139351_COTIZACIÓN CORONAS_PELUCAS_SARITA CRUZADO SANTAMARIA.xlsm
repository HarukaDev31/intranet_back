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esktop\SARITA CRUZADO SANTAMARIA #13\"/>
    </mc:Choice>
  </mc:AlternateContent>
  <xr:revisionPtr revIDLastSave="0" documentId="13_ncr:1_{86B9B73F-BDAD-4A77-B07F-C361DD4306B1}" xr6:coauthVersionLast="40" xr6:coauthVersionMax="40" xr10:uidLastSave="{00000000-0000-0000-0000-000000000000}"/>
  <bookViews>
    <workbookView xWindow="-20610" yWindow="-540" windowWidth="20730" windowHeight="11310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1" l="1"/>
  <c r="F18" i="1"/>
  <c r="G18" i="1"/>
  <c r="E19" i="1"/>
  <c r="F19" i="1"/>
  <c r="G19" i="1"/>
  <c r="E31" i="1"/>
  <c r="F31" i="1"/>
  <c r="G31" i="1"/>
  <c r="E50" i="1"/>
  <c r="F50" i="1"/>
  <c r="G50" i="1"/>
  <c r="E52" i="1"/>
  <c r="F52" i="1"/>
  <c r="G52" i="1"/>
  <c r="C18" i="1"/>
  <c r="D18" i="1"/>
  <c r="C19" i="1"/>
  <c r="D19" i="1"/>
  <c r="H4" i="1" l="1"/>
  <c r="H8" i="1"/>
  <c r="I11" i="2" s="1"/>
  <c r="H5" i="1"/>
  <c r="I8" i="2" s="1"/>
  <c r="H6" i="1"/>
  <c r="I9" i="2" s="1"/>
  <c r="T12" i="2" l="1"/>
  <c r="S11" i="2" a="1"/>
  <c r="S11" i="2" s="1"/>
  <c r="P22" i="1"/>
  <c r="E40" i="2"/>
  <c r="E41" i="2"/>
  <c r="H14" i="1"/>
  <c r="C31" i="1"/>
  <c r="E39" i="2"/>
  <c r="B39" i="2"/>
  <c r="N39" i="2" s="1"/>
  <c r="F39" i="2"/>
  <c r="O39" i="2" s="1"/>
  <c r="B40" i="2"/>
  <c r="N40" i="2" s="1"/>
  <c r="F40" i="2"/>
  <c r="O40" i="2" s="1"/>
  <c r="B41" i="2"/>
  <c r="N41" i="2" s="1"/>
  <c r="F41" i="2"/>
  <c r="O41" i="2" s="1"/>
  <c r="F38" i="2"/>
  <c r="O38" i="2" s="1"/>
  <c r="E9" i="2"/>
  <c r="F37" i="2"/>
  <c r="O37" i="2" s="1"/>
  <c r="B38" i="2"/>
  <c r="N38" i="2" s="1"/>
  <c r="B37" i="2"/>
  <c r="N37" i="2" s="1"/>
  <c r="D31" i="1"/>
  <c r="D50" i="1"/>
  <c r="D52" i="1"/>
  <c r="E38" i="2" s="1"/>
  <c r="H17" i="1"/>
  <c r="H13" i="1"/>
  <c r="H12" i="1"/>
  <c r="S13" i="2" l="1"/>
  <c r="T13" i="2" s="1"/>
  <c r="S10" i="2" a="1"/>
  <c r="S10" i="2" s="1"/>
  <c r="T10" i="2" s="1"/>
  <c r="S14" i="2"/>
  <c r="S16" i="2" l="1"/>
  <c r="Q19" i="1" l="1"/>
  <c r="O18" i="1"/>
  <c r="O19" i="1"/>
  <c r="O20" i="1"/>
  <c r="O21" i="1"/>
  <c r="O22" i="1"/>
  <c r="O17" i="1"/>
  <c r="P19" i="1"/>
  <c r="K16" i="1"/>
  <c r="Q17" i="1"/>
  <c r="T11" i="2"/>
  <c r="Q18" i="1" s="1"/>
  <c r="T16" i="2" l="1"/>
  <c r="T14" i="2"/>
  <c r="Q21" i="1" s="1"/>
  <c r="P20" i="1"/>
  <c r="P21" i="1"/>
  <c r="R21" i="1" s="1"/>
  <c r="R19" i="1"/>
  <c r="P18" i="1"/>
  <c r="P17" i="1"/>
  <c r="H21" i="1" s="1"/>
  <c r="I23" i="2"/>
  <c r="I20" i="2"/>
  <c r="C52" i="1"/>
  <c r="E37" i="2" s="1"/>
  <c r="E42" i="2" s="1"/>
  <c r="H18" i="1"/>
  <c r="C50" i="1"/>
  <c r="E20" i="1" l="1"/>
  <c r="E44" i="1" s="1"/>
  <c r="F20" i="1"/>
  <c r="F44" i="1" s="1"/>
  <c r="G20" i="1"/>
  <c r="G44" i="1" s="1"/>
  <c r="H45" i="1"/>
  <c r="Q20" i="1"/>
  <c r="R17" i="1"/>
  <c r="R18" i="1"/>
  <c r="R20" i="1"/>
  <c r="H31" i="1"/>
  <c r="J23" i="2" s="1"/>
  <c r="H19" i="1"/>
  <c r="E21" i="1" l="1"/>
  <c r="E23" i="1" s="1"/>
  <c r="F21" i="1"/>
  <c r="G45" i="1"/>
  <c r="E45" i="1"/>
  <c r="F45" i="1"/>
  <c r="G21" i="1"/>
  <c r="J31" i="2"/>
  <c r="N21" i="2" s="1"/>
  <c r="D20" i="1"/>
  <c r="D21" i="1" s="1"/>
  <c r="H24" i="1"/>
  <c r="C20" i="1"/>
  <c r="E22" i="1" l="1"/>
  <c r="E24" i="1"/>
  <c r="E26" i="1" s="1"/>
  <c r="F24" i="1"/>
  <c r="G24" i="1"/>
  <c r="G22" i="1"/>
  <c r="G23" i="1"/>
  <c r="F22" i="1"/>
  <c r="F23" i="1"/>
  <c r="O45" i="2"/>
  <c r="C44" i="1"/>
  <c r="C21" i="1"/>
  <c r="C23" i="1" s="1"/>
  <c r="J15" i="2"/>
  <c r="D22" i="1"/>
  <c r="D44" i="1"/>
  <c r="D45" i="1" s="1"/>
  <c r="D24" i="1"/>
  <c r="C24" i="1"/>
  <c r="E25" i="1" l="1"/>
  <c r="E34" i="1" s="1"/>
  <c r="E36" i="1" s="1"/>
  <c r="F26" i="1"/>
  <c r="F25" i="1"/>
  <c r="G26" i="1"/>
  <c r="G25" i="1"/>
  <c r="C26" i="1"/>
  <c r="C22" i="1"/>
  <c r="D25" i="1"/>
  <c r="D23" i="1"/>
  <c r="D26" i="1" s="1"/>
  <c r="J14" i="2"/>
  <c r="J30" i="2" s="1"/>
  <c r="F34" i="1" l="1"/>
  <c r="F36" i="1" s="1"/>
  <c r="D34" i="1"/>
  <c r="D35" i="1" s="1"/>
  <c r="G34" i="1"/>
  <c r="G35" i="1" s="1"/>
  <c r="E35" i="1"/>
  <c r="J16" i="2"/>
  <c r="C45" i="1"/>
  <c r="F35" i="1" l="1"/>
  <c r="F37" i="1" s="1"/>
  <c r="F38" i="1" s="1"/>
  <c r="F51" i="1" s="1"/>
  <c r="F53" i="1" s="1"/>
  <c r="F54" i="1" s="1"/>
  <c r="G36" i="1"/>
  <c r="G37" i="1" s="1"/>
  <c r="G38" i="1" s="1"/>
  <c r="G51" i="1" s="1"/>
  <c r="G53" i="1" s="1"/>
  <c r="G54" i="1" s="1"/>
  <c r="E37" i="1"/>
  <c r="E38" i="1" s="1"/>
  <c r="E51" i="1" s="1"/>
  <c r="E53" i="1" s="1"/>
  <c r="E54" i="1" s="1"/>
  <c r="D36" i="1"/>
  <c r="D37" i="1" s="1"/>
  <c r="C25" i="1"/>
  <c r="C34" i="1" l="1"/>
  <c r="C35" i="1" s="1"/>
  <c r="D38" i="1"/>
  <c r="D51" i="1" s="1"/>
  <c r="D53" i="1" s="1"/>
  <c r="D54" i="1" s="1"/>
  <c r="H41" i="2"/>
  <c r="J41" i="2" s="1"/>
  <c r="H23" i="1"/>
  <c r="H22" i="1"/>
  <c r="H25" i="1"/>
  <c r="H38" i="2" l="1"/>
  <c r="P38" i="2" s="1"/>
  <c r="Q38" i="2" s="1"/>
  <c r="H39" i="2"/>
  <c r="I39" i="2" s="1"/>
  <c r="H40" i="2"/>
  <c r="P40" i="2" s="1"/>
  <c r="Q40" i="2" s="1"/>
  <c r="C36" i="1"/>
  <c r="C37" i="1" s="1"/>
  <c r="P41" i="2"/>
  <c r="Q41" i="2" s="1"/>
  <c r="I41" i="2"/>
  <c r="H26" i="1"/>
  <c r="P39" i="2" l="1"/>
  <c r="Q39" i="2" s="1"/>
  <c r="J39" i="2"/>
  <c r="I38" i="2"/>
  <c r="J38" i="2"/>
  <c r="J40" i="2"/>
  <c r="I40" i="2"/>
  <c r="H34" i="1"/>
  <c r="J20" i="2" s="1"/>
  <c r="H36" i="1"/>
  <c r="J22" i="2" s="1"/>
  <c r="H35" i="1"/>
  <c r="J21" i="2" s="1"/>
  <c r="C38" i="1" l="1"/>
  <c r="C51" i="1" s="1"/>
  <c r="J24" i="2"/>
  <c r="H37" i="1" l="1"/>
  <c r="J26" i="2" s="1"/>
  <c r="J27" i="2" s="1"/>
  <c r="H38" i="1"/>
  <c r="J32" i="2" l="1"/>
  <c r="O46" i="2" s="1"/>
  <c r="O48" i="2" s="1"/>
  <c r="H51" i="1"/>
  <c r="C53" i="1"/>
  <c r="J33" i="2" l="1"/>
  <c r="C54" i="1"/>
  <c r="H37" i="2"/>
  <c r="J37" i="2" l="1"/>
  <c r="P37" i="2"/>
  <c r="Q37" i="2" s="1"/>
  <c r="I37" i="2"/>
  <c r="I42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H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<sst xmlns="http://schemas.openxmlformats.org/spreadsheetml/2006/main" count="198" uniqueCount="149">
  <si>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</si>
  <si>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</si>
  <si>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</si>
  <si>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</si>
  <si>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</si>
  <si>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</si>
  <si>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</si>
  <si>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</si>
  <si>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</si>
  <si>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</si>
  <si>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</si>
  <si>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</si>
  <si>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</si>
  <si>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</si>
  <si>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</si>
  <si>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</si>
  <si>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</si>
  <si>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</si>
  <si>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</si>
  <si>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</si>
  <si>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</si>
  <si>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</si>
  <si>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</si>
  <si>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</si>
  <si>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</si>
  <si>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</si>
  <si>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</si>
  <si>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</si>
  <si>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</si>
  <si>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</si>
  <si>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</si>
  <si>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</si>
  <si>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</si>
  <si>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</si>
  <si>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</si>
  <si>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</si>
  <si>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</si>
  <si>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</si>
  <si>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</si>
  <si>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</si>
  <si>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</si>
  <si>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</si>
  <si>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</si>
  <si>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</si>
  <si>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</si>
  <si>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</si>
  <si>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</si>
  <si>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</si>
  <si>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</si>
  <si>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</si>
  <si>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</si>
  <si>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</si>
  <si>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</si>
  <si>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</si>
  <si>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</si>
  <si>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</si>
  <si>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</si>
  <si>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</si>
  <si>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</si>
  <si>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</si>
  <si>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</si>
  <si>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</si>
  <si>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</si>
  <si>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</si>
  <si>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</si>
  <si>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14.En caso el cliente esté importando una carga que no sea legal y la empresa Pro Business se vea perjudicada, </t>
  </si>
  <si>
    <t xml:space="preserve">15.El cliente estará sujeto a pagar mayor el ad- valorem en caso aduanas aplique cambios de partida. </t>
  </si>
  <si>
    <t>16.Si el cliente no paga los tributos o gastos administrativos de su cotización, Pro Business será dueño total de la carga.</t>
  </si>
  <si>
    <t>17.Los ajustes de valor que aplique la aduana serán asumidos por el cliente.</t>
  </si>
  <si>
    <t>18.No somos responsable de las mermas o faltante de la carga (entregamos su pedido tal cual el proveedor envío).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</si>
  <si>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</si>
  <si>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</si>
  <si>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</si>
  <si>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</si>
  <si>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</si>
  <si>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</si>
  <si>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</si>
  <si>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</si>
  <si>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</si>
  <si>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</si>
  <si>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</si>
  <si>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</si>
  <si>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</si>
  <si>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</si>
  <si>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</si>
  <si>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</si>
  <si>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</si>
  <si>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</si>
  <si>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</si>
  <si>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</si>
  <si>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</si>
  <si>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</si>
  <si>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</si>
  <si>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</si>
  <si>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</si>
  <si>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</si>
  <si>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</si>
  <si>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</si>
  <si>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</si>
  <si>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</si>
  <si>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</si>
  <si>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</si>
  <si>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</si>
  <si>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</si>
  <si>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</si>
  <si>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</si>
  <si>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</si>
  <si>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</si>
  <si>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</si>
  <si>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</si>
  <si>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</si>
  <si>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</si>
  <si>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</si>
  <si>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</si>
  <si>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</si>
  <si>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</si>
  <si>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</si>
  <si>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</si>
  <si>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</si>
  <si>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</si>
  <si>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</si>
  <si>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</si>
  <si>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</si>
  <si>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</si>
  <si>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</si>
  <si>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</si>
  <si>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</si>
  <si>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</si>
  <si>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</si>
  <si>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</si>
  <si>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</si>
  <si>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</si>
  <si>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</si>
  <si>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</si>
  <si>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</si>
  <si>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</si>
  <si>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</si>
  <si>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</si>
  <si>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PELUCA ONDULADA SINTETICA</t>
  </si>
  <si>
    <t>PELUCA RECTA SINTETICA</t>
  </si>
  <si>
    <t>TIARAS</t>
  </si>
  <si>
    <t>CORONAS EN PUNTA</t>
  </si>
  <si>
    <t>CORONAS CON PIEDRA</t>
  </si>
  <si>
    <t>SARITA CRUZADO SANTAMARIA</t>
  </si>
  <si>
    <t>victoria86cruzado@gmail.com</t>
  </si>
  <si>
    <t xml:space="preserve"> 51 982097245</t>
  </si>
  <si>
    <t>Servicio de Consolidado antes de la Fecha de Corte 15/08</t>
  </si>
  <si>
    <t>Pago de Impuestos antes del Arribo 26/09</t>
  </si>
  <si>
    <t>SACR13-1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</si>
</sst>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_-[$$-409]* #,##0.000_ ;_-[$$-409]* \-#,##0.000\ ;_-[$$-409]* &quot;-&quot;??_ ;_-@_ "/>
    <numFmt numFmtId="167" formatCode="[$$-409]#,##0"/>
    <numFmt numFmtId="168" formatCode="_-[$$-540A]* #,##0.00_ ;_-[$$-540A]* \-#,##0.00\ ;_-[$$-540A]* &quot;-&quot;??_ ;_-@_ "/>
    <numFmt numFmtId="169" formatCode="0.00\ &quot;cm&quot;"/>
    <numFmt numFmtId="170" formatCode="#,##0.000\ &quot;m3&quot;"/>
    <numFmt numFmtId="171" formatCode="0.0\ &quot;cm&quot;"/>
    <numFmt numFmtId="172" formatCode="0.0\ &quot;kg&quot;"/>
    <numFmt numFmtId="173" formatCode="_-[$S/-280A]\ * #,##0.00_-;\-[$S/-280A]\ * #,##0.00_-;_-[$S/-280A]\ * &quot;-&quot;??_-;_-@_-"/>
    <numFmt numFmtId="174" formatCode="_-[$$-409]* #,##0.0_ ;_-[$$-409]* \-#,##0.0\ ;_-[$$-409]* &quot;-&quot;??_ ;_-@_ "/>
    <numFmt numFmtId="175" formatCode="_-[$$-540A]* #,##0.000_ ;_-[$$-540A]* \-#,##0.000\ ;_-[$$-540A]* &quot;-&quot;???_ ;_-@_ "/>
    <numFmt numFmtId="176" formatCode="0.00\ &quot;x UC&quot;"/>
    <numFmt numFmtId="177" formatCode="_-[$$-409]* #,##0.000_ ;_-[$$-409]* \-#,##0.000\ ;_-[$$-409]* &quot;-&quot;???_ ;_-@_ "/>
    <numFmt numFmtId="178" formatCode="[$$-540A]#,##0.00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u/>
      <sz val="11"/>
      <color theme="1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</borders>
  <cellStyleXfs count="1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 applyNumberFormat="0" applyFill="0" applyBorder="0" applyAlignment="0" applyProtection="0"/>
  </cellStyleXfs>
  <cellXfs count="189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165" fontId="2" fillId="2" borderId="1" xfId="1" applyNumberFormat="1" applyFont="1" applyFill="1" applyBorder="1" applyAlignment="1">
      <alignment horizontal="center"/>
    </xf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7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8" fontId="10" fillId="2" borderId="0" xfId="0" applyNumberFormat="1" applyFont="1" applyFill="1" applyAlignment="1">
      <alignment horizontal="center"/>
    </xf>
    <xf numFmtId="168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166" fontId="0" fillId="6" borderId="1" xfId="0" applyNumberFormat="1" applyFill="1" applyBorder="1" applyAlignment="1">
      <alignment horizontal="center"/>
    </xf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5" fontId="0" fillId="2" borderId="0" xfId="0" applyNumberFormat="1" applyFill="1"/>
    <xf numFmtId="176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4" fontId="20" fillId="2" borderId="0" xfId="0" applyNumberFormat="1" applyFont="1" applyFill="1"/>
    <xf numFmtId="0" fontId="0" fillId="4" borderId="14" xfId="0" applyFill="1" applyBorder="1"/>
    <xf numFmtId="166" fontId="0" fillId="2" borderId="14" xfId="0" applyNumberFormat="1" applyFill="1" applyBorder="1" applyAlignment="1">
      <alignment horizontal="center"/>
    </xf>
    <xf numFmtId="170" fontId="10" fillId="2" borderId="1" xfId="0" applyNumberFormat="1" applyFont="1" applyFill="1" applyBorder="1" applyAlignment="1">
      <alignment horizontal="center"/>
    </xf>
    <xf numFmtId="172" fontId="10" fillId="2" borderId="1" xfId="0" applyNumberFormat="1" applyFont="1" applyFill="1" applyBorder="1" applyAlignment="1">
      <alignment horizontal="center"/>
    </xf>
    <xf numFmtId="170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2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27" fillId="1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3" fontId="28" fillId="2" borderId="1" xfId="0" applyNumberFormat="1" applyFont="1" applyFill="1" applyBorder="1" applyAlignment="1">
      <alignment horizontal="center"/>
    </xf>
    <xf numFmtId="168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5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20" fillId="2" borderId="7" xfId="0" applyNumberFormat="1" applyFont="1" applyFill="1" applyBorder="1"/>
    <xf numFmtId="171" fontId="10" fillId="2" borderId="1" xfId="0" applyNumberFormat="1" applyFont="1" applyFill="1" applyBorder="1" applyAlignment="1">
      <alignment horizontal="center"/>
    </xf>
    <xf numFmtId="0" fontId="38" fillId="4" borderId="0" xfId="13" applyFill="1" applyAlignment="1">
      <alignment horizont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16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3" fontId="9" fillId="5" borderId="1" xfId="0" applyNumberFormat="1" applyFont="1" applyFill="1" applyBorder="1" applyAlignment="1">
      <alignment horizontal="center"/>
    </xf>
    <xf numFmtId="173" fontId="34" fillId="11" borderId="16" xfId="0" applyNumberFormat="1" applyFont="1" applyFill="1" applyBorder="1" applyAlignment="1">
      <alignment horizontal="center" vertical="center" wrapText="1"/>
    </xf>
    <xf numFmtId="173" fontId="34" fillId="11" borderId="17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173" fontId="34" fillId="11" borderId="18" xfId="0" applyNumberFormat="1" applyFont="1" applyFill="1" applyBorder="1" applyAlignment="1">
      <alignment horizontal="center" vertical="center" wrapText="1"/>
    </xf>
    <xf numFmtId="173" fontId="34" fillId="11" borderId="19" xfId="0" applyNumberFormat="1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172" fontId="10" fillId="8" borderId="0" xfId="0" applyNumberFormat="1" applyFont="1" applyFill="1" applyAlignment="1">
      <alignment horizontal="center"/>
    </xf>
    <xf numFmtId="173" fontId="34" fillId="11" borderId="0" xfId="0" applyNumberFormat="1" applyFont="1" applyFill="1" applyAlignment="1">
      <alignment horizontal="center" vertical="center" wrapText="1"/>
    </xf>
    <xf numFmtId="173" fontId="34" fillId="11" borderId="2" xfId="0" applyNumberFormat="1" applyFont="1" applyFill="1" applyBorder="1" applyAlignment="1">
      <alignment horizontal="center" vertical="center" wrapText="1"/>
    </xf>
    <xf numFmtId="173" fontId="34" fillId="11" borderId="20" xfId="0" applyNumberFormat="1" applyFont="1" applyFill="1" applyBorder="1" applyAlignment="1">
      <alignment horizontal="center" vertical="center" wrapText="1"/>
    </xf>
    <xf numFmtId="173" fontId="34" fillId="11" borderId="21" xfId="0" applyNumberFormat="1" applyFont="1" applyFill="1" applyBorder="1" applyAlignment="1">
      <alignment horizontal="center" vertical="center" wrapText="1"/>
    </xf>
    <xf numFmtId="173" fontId="34" fillId="11" borderId="10" xfId="0" applyNumberFormat="1" applyFont="1" applyFill="1" applyBorder="1" applyAlignment="1">
      <alignment horizontal="center" vertical="center"/>
    </xf>
    <xf numFmtId="173" fontId="34" fillId="11" borderId="12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6" xfId="0" applyFont="1" applyFill="1" applyBorder="1" applyAlignment="1">
      <alignment horizontal="center"/>
    </xf>
    <xf numFmtId="0" fontId="3" fillId="3" borderId="23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  <xf numFmtId="0" fontId="12" fillId="2" borderId="1" xfId="0" applyFont="1" applyFill="1" applyBorder="1" applyAlignment="1">
      <alignment horizontal="center"/>
    </xf>
    <xf numFmtId="0" fontId="12" fillId="2" borderId="27" xfId="0" applyFont="1" applyFill="1" applyBorder="1" applyAlignment="1">
      <alignment horizontal="center"/>
    </xf>
    <xf numFmtId="0" fontId="12" fillId="2" borderId="26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</cellXfs>
  <cellStyles count="14">
    <cellStyle name="Hipervínculo" xfId="13" builtinId="8"/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60</xdr:row>
      <xdr:rowOff>147864</xdr:rowOff>
    </xdr:from>
    <xdr:to>
      <xdr:col>1</xdr:col>
      <xdr:colOff>299357</xdr:colOff>
      <xdr:row>62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60</xdr:row>
      <xdr:rowOff>139247</xdr:rowOff>
    </xdr:from>
    <xdr:to>
      <xdr:col>1</xdr:col>
      <xdr:colOff>503464</xdr:colOff>
      <xdr:row>62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77</xdr:row>
      <xdr:rowOff>147864</xdr:rowOff>
    </xdr:from>
    <xdr:to>
      <xdr:col>2</xdr:col>
      <xdr:colOff>161126</xdr:colOff>
      <xdr:row>79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77</xdr:row>
      <xdr:rowOff>139247</xdr:rowOff>
    </xdr:from>
    <xdr:to>
      <xdr:col>2</xdr:col>
      <xdr:colOff>258536</xdr:colOff>
      <xdr:row>79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91</xdr:row>
      <xdr:rowOff>147864</xdr:rowOff>
    </xdr:from>
    <xdr:to>
      <xdr:col>1</xdr:col>
      <xdr:colOff>629124</xdr:colOff>
      <xdr:row>93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91</xdr:row>
      <xdr:rowOff>139248</xdr:rowOff>
    </xdr:from>
    <xdr:to>
      <xdr:col>2</xdr:col>
      <xdr:colOff>462643</xdr:colOff>
      <xdr:row>93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219075</xdr:colOff>
          <xdr:row>2</xdr:row>
          <xdr:rowOff>219075</xdr:rowOff>
        </xdr:from>
        <xdr:to>
          <xdr:col>18</xdr:col>
          <xdr:colOff>466725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442149</xdr:colOff>
      <xdr:row>25</xdr:row>
      <xdr:rowOff>27212</xdr:rowOff>
    </xdr:from>
    <xdr:to>
      <xdr:col>8</xdr:col>
      <xdr:colOff>430339</xdr:colOff>
      <xdr:row>52</xdr:row>
      <xdr:rowOff>70562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361031" y="4879359"/>
          <a:ext cx="5535102" cy="579196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53</xdr:row>
      <xdr:rowOff>59531</xdr:rowOff>
    </xdr:from>
    <xdr:to>
      <xdr:col>9</xdr:col>
      <xdr:colOff>218434</xdr:colOff>
      <xdr:row>58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52</xdr:row>
      <xdr:rowOff>174625</xdr:rowOff>
    </xdr:from>
    <xdr:to>
      <xdr:col>1</xdr:col>
      <xdr:colOff>2001655</xdr:colOff>
      <xdr:row>58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</xdr:row>
      <xdr:rowOff>79078</xdr:rowOff>
    </xdr:from>
    <xdr:to>
      <xdr:col>8</xdr:col>
      <xdr:colOff>240639</xdr:colOff>
      <xdr:row>98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100</xdr:row>
      <xdr:rowOff>166510</xdr:rowOff>
    </xdr:from>
    <xdr:to>
      <xdr:col>5</xdr:col>
      <xdr:colOff>132798</xdr:colOff>
      <xdr:row>115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74083</xdr:colOff>
      <xdr:row>21</xdr:row>
      <xdr:rowOff>95250</xdr:rowOff>
    </xdr:from>
    <xdr:to>
      <xdr:col>13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victoria86cruzado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13"/>
  <sheetViews>
    <sheetView showGridLines="0" tabSelected="1" topLeftCell="A22" zoomScale="85" zoomScaleNormal="85" zoomScaleSheetLayoutView="80" workbookViewId="0">
      <selection activeCell="N31" sqref="N31"/>
    </sheetView>
  </sheetViews>
  <sheetFormatPr baseColWidth="10" defaultColWidth="10.85546875" defaultRowHeight="15"/>
  <cols>
    <col min="1" max="1" width="13.85546875" style="1" customWidth="1"/>
    <col min="2" max="2" width="32.28515625" style="1" customWidth="1"/>
    <col min="3" max="3" width="2.42578125" style="1" customWidth="1"/>
    <col min="4" max="4" width="13.42578125" style="1" bestFit="1" customWidth="1"/>
    <col min="5" max="5" width="10.85546875" style="1" customWidth="1"/>
    <col min="6" max="6" width="12" style="1" customWidth="1"/>
    <col min="7" max="7" width="2.42578125" style="1" customWidth="1"/>
    <col min="8" max="8" width="9.85546875" style="1" customWidth="1"/>
    <col min="9" max="9" width="13.7109375" style="1" customWidth="1"/>
    <col min="10" max="10" width="11.28515625" style="1" bestFit="1" customWidth="1"/>
    <col min="11" max="11" width="11.42578125" style="1" customWidth="1"/>
    <col min="12" max="12" width="7.140625" style="1" customWidth="1"/>
    <col min="13" max="13" width="9" style="1" customWidth="1"/>
    <col min="14" max="14" width="28.140625" style="1" customWidth="1"/>
    <col min="15" max="15" width="25.85546875" style="1" customWidth="1"/>
    <col min="16" max="16" width="19.85546875" style="1" customWidth="1"/>
    <col min="17" max="17" width="20.140625" style="1" customWidth="1"/>
    <col min="18" max="18" width="11.42578125" style="1" customWidth="1"/>
    <col min="19" max="19" width="16.42578125" style="1" bestFit="1" customWidth="1"/>
    <col min="20" max="20" width="11.42578125" style="1" customWidth="1"/>
    <col min="21" max="16384" width="10.85546875" style="1"/>
  </cols>
  <sheetData>
    <row r="1" spans="1:25" ht="18.75">
      <c r="H1" s="32"/>
      <c r="I1" s="32"/>
      <c r="J1" s="32"/>
      <c r="K1" s="31"/>
    </row>
    <row r="2" spans="1:25" ht="18.75">
      <c r="H2" s="32"/>
      <c r="I2" s="32"/>
      <c r="J2" s="32"/>
      <c r="K2" s="31"/>
    </row>
    <row r="3" spans="1:25">
      <c r="F3" s="137"/>
      <c r="G3" s="137"/>
      <c r="H3" s="137"/>
      <c r="I3" s="137"/>
      <c r="W3" s="5" t="s">
        <v>80</v>
      </c>
    </row>
    <row r="4" spans="1:25">
      <c r="F4" s="138"/>
      <c r="G4" s="138"/>
      <c r="H4" s="138"/>
      <c r="I4" s="138"/>
      <c r="J4" s="40"/>
      <c r="W4" s="5" t="s">
        <v>81</v>
      </c>
    </row>
    <row r="5" spans="1:25">
      <c r="W5" s="5" t="s">
        <v>82</v>
      </c>
    </row>
    <row r="6" spans="1:25">
      <c r="B6" s="73"/>
      <c r="C6" s="73"/>
      <c r="E6" s="73"/>
      <c r="F6" s="73"/>
      <c r="G6" s="73"/>
      <c r="W6" s="83" t="s">
        <v>86</v>
      </c>
    </row>
    <row r="7" spans="1:25">
      <c r="D7" s="139" t="s">
        <v>117</v>
      </c>
      <c r="E7" s="139"/>
      <c r="F7" s="139"/>
      <c r="W7" s="5" t="s">
        <v>85</v>
      </c>
    </row>
    <row r="8" spans="1:25">
      <c r="A8" s="33" t="s">
        <v>79</v>
      </c>
      <c r="B8" s="47" t="s">
        <v>143</v>
      </c>
      <c r="D8" s="67" t="s">
        <v>24</v>
      </c>
      <c r="E8" s="68" t="s">
        <v>25</v>
      </c>
      <c r="F8" s="69"/>
      <c r="G8" s="31"/>
      <c r="H8" s="1" t="s">
        <v>30</v>
      </c>
      <c r="I8" s="150">
        <f>+'2'!H5</f>
        <v>30</v>
      </c>
      <c r="J8" s="150"/>
      <c r="K8" s="150"/>
      <c r="T8" s="89"/>
      <c r="W8" s="5" t="s">
        <v>89</v>
      </c>
    </row>
    <row r="9" spans="1:25">
      <c r="A9" s="33" t="s">
        <v>116</v>
      </c>
      <c r="B9" s="47">
        <v>44361377</v>
      </c>
      <c r="D9" s="70" t="s">
        <v>103</v>
      </c>
      <c r="E9" s="160">
        <f ca="1">+TODAY()</f>
        <v>45859</v>
      </c>
      <c r="F9" s="161"/>
      <c r="G9" s="31"/>
      <c r="H9" s="1" t="s">
        <v>29</v>
      </c>
      <c r="I9" s="166">
        <f>+'2'!H6</f>
        <v>209</v>
      </c>
      <c r="J9" s="166"/>
      <c r="K9" s="166"/>
      <c r="R9" s="3"/>
      <c r="S9" s="122" t="s">
        <v>88</v>
      </c>
      <c r="T9" s="6" t="s">
        <v>54</v>
      </c>
    </row>
    <row r="10" spans="1:25">
      <c r="A10" s="33" t="s">
        <v>115</v>
      </c>
      <c r="B10" s="125" t="s">
        <v>144</v>
      </c>
      <c r="D10" s="79" t="s">
        <v>26</v>
      </c>
      <c r="E10" s="1" t="s">
        <v>27</v>
      </c>
      <c r="F10" s="78"/>
      <c r="G10" s="31"/>
      <c r="H10" s="1" t="s">
        <v>73</v>
      </c>
      <c r="I10" s="92">
        <v>0</v>
      </c>
      <c r="J10" s="92">
        <v>0</v>
      </c>
      <c r="K10" s="92">
        <v>0</v>
      </c>
      <c r="R10" s="82" t="s">
        <v>82</v>
      </c>
      <c r="S10" s="50" cm="1">
        <f t="array" ref="S10">IF('1'!$I$11&lt;0.59,280,IF('1'!$I$11&lt;1,375,IF('1'!$I$11&lt;=2.09,375*'1'!$I$11,IF('1'!$I$11&lt;=3.09,350*'1'!$I$11,IF('1'!$I$11&lt;=4.09,325*'1'!$I$11,IF('1'!$I$11&gt;4.09,300*'1'!$I$11,ERROR))))))</f>
        <v>375</v>
      </c>
      <c r="T10" s="86">
        <f>IF($I$11&lt;1,S10,S10/$I$11)</f>
        <v>375</v>
      </c>
      <c r="U10" s="49"/>
      <c r="V10" s="82"/>
      <c r="W10" s="82" t="s">
        <v>82</v>
      </c>
      <c r="X10" s="82" t="s">
        <v>81</v>
      </c>
      <c r="Y10" s="82" t="s">
        <v>86</v>
      </c>
    </row>
    <row r="11" spans="1:25">
      <c r="A11" s="33" t="s">
        <v>23</v>
      </c>
      <c r="B11" s="55" t="s">
        <v>145</v>
      </c>
      <c r="D11" s="71" t="s">
        <v>22</v>
      </c>
      <c r="E11" s="38" t="s">
        <v>82</v>
      </c>
      <c r="F11" s="72"/>
      <c r="H11" s="1" t="s">
        <v>28</v>
      </c>
      <c r="I11" s="143">
        <f>+'2'!H8</f>
        <v>0.66599999999999993</v>
      </c>
      <c r="J11" s="143"/>
      <c r="K11" s="143"/>
      <c r="L11" s="62"/>
      <c r="R11" s="82" t="s">
        <v>81</v>
      </c>
      <c r="S11" s="50" cm="1">
        <f t="array" ref="S11">IF('1'!$I$11&lt;0.59,260,IF('1'!$I$11&lt;1,350,IF('1'!$I$11&lt;2.09,350*'1'!$I$11,IF('1'!$I$11&lt;3.09,325*'1'!$I$11,IF('1'!$I$11&lt;4.09,'1'!$I$11*300,IF('1'!$I$11&gt;4.09,280*'1'!$I$11,ERROR))))))</f>
        <v>350</v>
      </c>
      <c r="T11" s="86">
        <f>IF($I$11&lt;1,S11,S11/$I$11)</f>
        <v>350</v>
      </c>
      <c r="U11" s="3"/>
      <c r="V11" s="82" t="s">
        <v>104</v>
      </c>
      <c r="W11" s="82">
        <v>280</v>
      </c>
      <c r="X11" s="82">
        <v>260</v>
      </c>
      <c r="Y11" s="159">
        <v>250</v>
      </c>
    </row>
    <row r="12" spans="1:25">
      <c r="R12" s="82" t="s">
        <v>89</v>
      </c>
      <c r="S12" s="121"/>
      <c r="T12" s="86">
        <f>IF($I$11&lt;1,S12,S12/$I$11)</f>
        <v>0</v>
      </c>
      <c r="U12" s="3"/>
      <c r="V12" s="82" t="s">
        <v>105</v>
      </c>
      <c r="W12" s="82">
        <v>375</v>
      </c>
      <c r="X12" s="82">
        <v>350</v>
      </c>
      <c r="Y12" s="159"/>
    </row>
    <row r="13" spans="1:25">
      <c r="A13" s="147" t="s">
        <v>31</v>
      </c>
      <c r="B13" s="147"/>
      <c r="C13" s="147"/>
      <c r="D13" s="147"/>
      <c r="E13" s="147"/>
      <c r="F13" s="60"/>
      <c r="G13" s="60"/>
      <c r="H13" s="63"/>
      <c r="I13" s="63"/>
      <c r="J13" s="36" t="s">
        <v>34</v>
      </c>
      <c r="K13" s="36" t="s">
        <v>33</v>
      </c>
      <c r="R13" s="82" t="s">
        <v>86</v>
      </c>
      <c r="S13" s="50">
        <f>IF('1'!$I$11&lt;1,250,IF('1'!$I$11&lt;4,250*'1'!$I$11,IF('1'!$I$11&lt;=10,250*'1'!$I$11,IF('1'!$I$11&gt;10,250*'1'!$I$11,"VERIFICA EL CBM"))))</f>
        <v>250</v>
      </c>
      <c r="T13" s="86">
        <f>IF($I$11&lt;1,S13,S13/$I$11)</f>
        <v>250</v>
      </c>
      <c r="U13" s="88"/>
      <c r="V13" s="107" t="s">
        <v>106</v>
      </c>
      <c r="W13" s="107">
        <v>375</v>
      </c>
      <c r="X13" s="82">
        <v>350</v>
      </c>
      <c r="Y13" s="159"/>
    </row>
    <row r="14" spans="1:25">
      <c r="A14" s="165" t="s">
        <v>36</v>
      </c>
      <c r="B14" s="165"/>
      <c r="C14" s="165"/>
      <c r="D14" s="31"/>
      <c r="E14" s="31"/>
      <c r="F14" s="31"/>
      <c r="G14" s="31"/>
      <c r="J14" s="45">
        <f>'2'!H18</f>
        <v>2480.9614278400004</v>
      </c>
      <c r="K14" s="34" t="s">
        <v>35</v>
      </c>
      <c r="R14" s="82" t="s">
        <v>85</v>
      </c>
      <c r="S14" s="50">
        <f>IF('1'!$I$11&lt;1,250,250*'1'!$I$11)</f>
        <v>250</v>
      </c>
      <c r="T14" s="86">
        <f>IF($I$11&lt;1,S14,S14/$I$11)</f>
        <v>250</v>
      </c>
      <c r="V14" s="107" t="s">
        <v>107</v>
      </c>
      <c r="W14" s="107">
        <v>350</v>
      </c>
      <c r="X14" s="82">
        <v>325</v>
      </c>
      <c r="Y14" s="159"/>
    </row>
    <row r="15" spans="1:25">
      <c r="A15" s="164" t="s">
        <v>32</v>
      </c>
      <c r="B15" s="164"/>
      <c r="C15" s="164"/>
      <c r="D15" s="38"/>
      <c r="E15" s="38"/>
      <c r="F15" s="38"/>
      <c r="G15" s="38"/>
      <c r="H15" s="38"/>
      <c r="I15" s="38"/>
      <c r="J15" s="46">
        <f>IF(I11&lt;1,'2'!H21+'2'!H24,60%*(T16*I11)+'2'!H24)</f>
        <v>275</v>
      </c>
      <c r="K15" s="39" t="s">
        <v>35</v>
      </c>
      <c r="V15" s="82" t="s">
        <v>108</v>
      </c>
      <c r="W15" s="82">
        <v>325</v>
      </c>
      <c r="X15" s="82">
        <v>300</v>
      </c>
      <c r="Y15" s="159"/>
    </row>
    <row r="16" spans="1:25">
      <c r="A16" s="33" t="s">
        <v>7</v>
      </c>
      <c r="B16" s="31"/>
      <c r="C16" s="31"/>
      <c r="D16" s="31"/>
      <c r="E16" s="31"/>
      <c r="F16" s="31"/>
      <c r="G16" s="31"/>
      <c r="H16" s="31"/>
      <c r="I16" s="31"/>
      <c r="J16" s="45">
        <f>SUM(J14:J15)</f>
        <v>2755.9614278400004</v>
      </c>
      <c r="K16" s="34" t="s">
        <v>35</v>
      </c>
      <c r="O16" s="49"/>
      <c r="R16" s="82" t="s">
        <v>91</v>
      </c>
      <c r="S16" s="82" t="str">
        <f>E11</f>
        <v>NUEVO</v>
      </c>
      <c r="T16" s="82">
        <f>VLOOKUP(S16,R10:T14,3,0)</f>
        <v>375</v>
      </c>
      <c r="V16" s="82" t="s">
        <v>109</v>
      </c>
      <c r="W16" s="82">
        <v>300</v>
      </c>
      <c r="X16" s="82">
        <v>280</v>
      </c>
      <c r="Y16" s="159"/>
    </row>
    <row r="17" spans="1:15">
      <c r="A17" s="31"/>
      <c r="B17" s="31"/>
      <c r="C17" s="31"/>
      <c r="D17" s="31"/>
      <c r="E17" s="31"/>
      <c r="F17" s="31"/>
      <c r="G17" s="31"/>
      <c r="H17" s="31"/>
      <c r="I17" s="31"/>
      <c r="J17" s="31"/>
      <c r="K17" s="31"/>
      <c r="O17" s="49"/>
    </row>
    <row r="18" spans="1:15">
      <c r="A18" s="31"/>
      <c r="B18" s="31"/>
      <c r="C18" s="31"/>
      <c r="D18" s="31"/>
      <c r="E18" s="31"/>
      <c r="F18" s="31"/>
      <c r="G18" s="31"/>
      <c r="H18" s="31"/>
      <c r="I18" s="31"/>
      <c r="J18" s="31"/>
      <c r="K18" s="31"/>
    </row>
    <row r="19" spans="1:15">
      <c r="A19" s="147" t="s">
        <v>101</v>
      </c>
      <c r="B19" s="147"/>
      <c r="C19" s="147"/>
      <c r="D19" s="147"/>
      <c r="E19" s="147"/>
      <c r="F19" s="60"/>
      <c r="G19" s="60"/>
      <c r="H19" s="60"/>
      <c r="I19" s="36" t="s">
        <v>42</v>
      </c>
      <c r="J19" s="36" t="s">
        <v>34</v>
      </c>
      <c r="K19" s="36" t="s">
        <v>33</v>
      </c>
    </row>
    <row r="20" spans="1:15">
      <c r="A20" s="31" t="s">
        <v>37</v>
      </c>
      <c r="B20" s="31"/>
      <c r="C20" s="31"/>
      <c r="D20" s="31"/>
      <c r="E20" s="31"/>
      <c r="F20" s="31"/>
      <c r="G20" s="31"/>
      <c r="H20" s="31"/>
      <c r="I20" s="64">
        <f>MAX('2'!C33:G33)</f>
        <v>0</v>
      </c>
      <c r="J20" s="45">
        <f>'2'!H34</f>
        <v>0</v>
      </c>
      <c r="K20" s="34" t="s">
        <v>35</v>
      </c>
      <c r="N20" s="115" t="s">
        <v>54</v>
      </c>
    </row>
    <row r="21" spans="1:15">
      <c r="A21" s="31" t="s">
        <v>38</v>
      </c>
      <c r="B21" s="31"/>
      <c r="C21" s="31"/>
      <c r="D21" s="31"/>
      <c r="E21" s="31"/>
      <c r="F21" s="31"/>
      <c r="G21" s="31"/>
      <c r="H21" s="31"/>
      <c r="I21" s="64">
        <v>0.16</v>
      </c>
      <c r="J21" s="45">
        <f>'2'!H35</f>
        <v>440.95382845440002</v>
      </c>
      <c r="K21" s="34" t="s">
        <v>35</v>
      </c>
      <c r="N21" s="116">
        <f>J31/I11</f>
        <v>563.06306306306317</v>
      </c>
    </row>
    <row r="22" spans="1:15">
      <c r="A22" s="31" t="s">
        <v>39</v>
      </c>
      <c r="B22" s="31"/>
      <c r="C22" s="31"/>
      <c r="D22" s="31"/>
      <c r="E22" s="31"/>
      <c r="F22" s="31"/>
      <c r="G22" s="31"/>
      <c r="H22" s="31"/>
      <c r="I22" s="64">
        <v>0.02</v>
      </c>
      <c r="J22" s="45">
        <f>'2'!H36</f>
        <v>55.119228556800003</v>
      </c>
      <c r="K22" s="34" t="s">
        <v>35</v>
      </c>
    </row>
    <row r="23" spans="1:15">
      <c r="A23" s="38" t="s">
        <v>40</v>
      </c>
      <c r="B23" s="38"/>
      <c r="C23" s="38"/>
      <c r="D23" s="38"/>
      <c r="E23" s="38"/>
      <c r="F23" s="38"/>
      <c r="G23" s="38"/>
      <c r="H23" s="38"/>
      <c r="I23" s="81">
        <f>MAX('2'!C30:G30)</f>
        <v>0</v>
      </c>
      <c r="J23" s="46">
        <f>'2'!H31</f>
        <v>0</v>
      </c>
      <c r="K23" s="39" t="s">
        <v>35</v>
      </c>
    </row>
    <row r="24" spans="1:15">
      <c r="A24" s="33" t="s">
        <v>43</v>
      </c>
      <c r="B24" s="31"/>
      <c r="C24" s="31"/>
      <c r="D24" s="31"/>
      <c r="E24" s="31"/>
      <c r="F24" s="31"/>
      <c r="G24" s="31"/>
      <c r="H24" s="31"/>
      <c r="I24" s="34"/>
      <c r="J24" s="45">
        <f>SUM(J20:J23)</f>
        <v>496.07305701120004</v>
      </c>
      <c r="K24" s="34" t="s">
        <v>35</v>
      </c>
      <c r="L24" s="80"/>
    </row>
    <row r="25" spans="1:15">
      <c r="A25" s="31"/>
      <c r="B25" s="31"/>
      <c r="C25" s="31"/>
      <c r="D25" s="31"/>
      <c r="E25" s="31"/>
      <c r="F25" s="31"/>
      <c r="G25" s="31"/>
      <c r="H25" s="31"/>
      <c r="I25" s="2"/>
      <c r="J25" s="37"/>
      <c r="K25" s="34"/>
    </row>
    <row r="26" spans="1:15">
      <c r="A26" s="38" t="s">
        <v>41</v>
      </c>
      <c r="B26" s="38"/>
      <c r="C26" s="38"/>
      <c r="D26" s="38"/>
      <c r="E26" s="38"/>
      <c r="F26" s="38"/>
      <c r="G26" s="38"/>
      <c r="H26" s="38"/>
      <c r="I26" s="65" t="s">
        <v>74</v>
      </c>
      <c r="J26" s="46">
        <f>'2'!H37</f>
        <v>113.82120696979203</v>
      </c>
      <c r="K26" s="39" t="s">
        <v>35</v>
      </c>
    </row>
    <row r="27" spans="1:15">
      <c r="A27" s="33" t="s">
        <v>8</v>
      </c>
      <c r="B27" s="31"/>
      <c r="C27" s="31"/>
      <c r="D27" s="31"/>
      <c r="E27" s="31"/>
      <c r="F27" s="31"/>
      <c r="G27" s="31"/>
      <c r="H27" s="31"/>
      <c r="J27" s="45">
        <f>J24+J26</f>
        <v>609.89426398099204</v>
      </c>
      <c r="K27" s="34" t="s">
        <v>35</v>
      </c>
    </row>
    <row r="29" spans="1:15" ht="15.75">
      <c r="A29" s="144" t="s">
        <v>98</v>
      </c>
      <c r="B29" s="144"/>
      <c r="C29" s="144"/>
      <c r="D29" s="144"/>
      <c r="E29" s="144"/>
      <c r="F29" s="90"/>
      <c r="G29" s="90"/>
      <c r="H29" s="91"/>
      <c r="I29" s="91"/>
      <c r="J29" s="91" t="s">
        <v>34</v>
      </c>
      <c r="K29" s="91" t="s">
        <v>33</v>
      </c>
    </row>
    <row r="30" spans="1:15">
      <c r="A30" s="31" t="s">
        <v>97</v>
      </c>
      <c r="B30" s="31"/>
      <c r="C30" s="31"/>
      <c r="D30" s="31"/>
      <c r="E30" s="31"/>
      <c r="F30" s="31"/>
      <c r="G30" s="31"/>
      <c r="H30" s="45"/>
      <c r="I30" s="45"/>
      <c r="J30" s="45">
        <f>J14</f>
        <v>2480.9614278400004</v>
      </c>
      <c r="K30" s="34" t="s">
        <v>35</v>
      </c>
    </row>
    <row r="31" spans="1:15">
      <c r="A31" s="31" t="s">
        <v>100</v>
      </c>
      <c r="B31" s="31"/>
      <c r="C31" s="31"/>
      <c r="D31" s="31"/>
      <c r="E31" s="31"/>
      <c r="F31" s="31"/>
      <c r="G31" s="31"/>
      <c r="H31" s="45"/>
      <c r="I31" s="45"/>
      <c r="J31" s="45">
        <f>IF(I11&lt;1,T16,T16*I11)</f>
        <v>375</v>
      </c>
      <c r="K31" s="34" t="s">
        <v>35</v>
      </c>
      <c r="L31" s="115" t="s">
        <v>34</v>
      </c>
    </row>
    <row r="32" spans="1:15">
      <c r="A32" s="38" t="s">
        <v>44</v>
      </c>
      <c r="B32" s="38"/>
      <c r="C32" s="38"/>
      <c r="D32" s="38"/>
      <c r="E32" s="38"/>
      <c r="F32" s="38"/>
      <c r="G32" s="38"/>
      <c r="H32" s="46"/>
      <c r="I32" s="46"/>
      <c r="J32" s="46">
        <f>J27</f>
        <v>609.89426398099204</v>
      </c>
      <c r="K32" s="39" t="s">
        <v>35</v>
      </c>
      <c r="N32" s="2"/>
    </row>
    <row r="33" spans="1:19">
      <c r="A33" s="33" t="s">
        <v>99</v>
      </c>
      <c r="B33" s="31"/>
      <c r="C33" s="31"/>
      <c r="D33" s="31"/>
      <c r="E33" s="31"/>
      <c r="F33" s="31"/>
      <c r="G33" s="31"/>
      <c r="H33" s="45"/>
      <c r="I33" s="45"/>
      <c r="J33" s="45">
        <f>SUM(J30:J32)</f>
        <v>3465.8556918209924</v>
      </c>
      <c r="K33" s="34" t="s">
        <v>35</v>
      </c>
      <c r="M33" s="148" t="s">
        <v>122</v>
      </c>
      <c r="N33" s="148"/>
      <c r="O33" s="148"/>
      <c r="P33" s="148"/>
      <c r="Q33" s="148"/>
    </row>
    <row r="34" spans="1:19" ht="20.25" customHeight="1">
      <c r="A34" s="33"/>
      <c r="B34" s="31"/>
      <c r="C34" s="31"/>
      <c r="D34" s="31"/>
      <c r="E34" s="31"/>
      <c r="F34" s="31"/>
      <c r="G34" s="31"/>
      <c r="H34" s="37"/>
      <c r="I34" s="37"/>
      <c r="J34" s="37"/>
      <c r="K34" s="34"/>
      <c r="M34" s="149"/>
      <c r="N34" s="149"/>
      <c r="O34" s="149"/>
      <c r="P34" s="149"/>
      <c r="Q34" s="149"/>
    </row>
    <row r="35" spans="1:19" ht="15" customHeight="1">
      <c r="A35" s="155" t="s">
        <v>102</v>
      </c>
      <c r="B35" s="156"/>
      <c r="C35" s="156"/>
      <c r="D35" s="156"/>
      <c r="E35" s="156"/>
      <c r="F35" s="156"/>
      <c r="G35" s="156"/>
      <c r="H35" s="156"/>
      <c r="I35" s="156"/>
      <c r="J35" s="156"/>
      <c r="K35" s="157"/>
      <c r="M35" s="171" t="s">
        <v>46</v>
      </c>
      <c r="N35" s="152" t="s">
        <v>77</v>
      </c>
      <c r="O35" s="167" t="s">
        <v>118</v>
      </c>
      <c r="P35" s="169" t="s">
        <v>119</v>
      </c>
      <c r="Q35" s="162" t="s">
        <v>120</v>
      </c>
    </row>
    <row r="36" spans="1:19" ht="17.25" customHeight="1">
      <c r="A36" s="61" t="s">
        <v>46</v>
      </c>
      <c r="B36" s="140" t="s">
        <v>77</v>
      </c>
      <c r="C36" s="141"/>
      <c r="D36" s="142"/>
      <c r="E36" s="7" t="s">
        <v>1</v>
      </c>
      <c r="F36" s="140" t="s">
        <v>78</v>
      </c>
      <c r="G36" s="142"/>
      <c r="H36" s="5" t="s">
        <v>75</v>
      </c>
      <c r="I36" s="74" t="s">
        <v>8</v>
      </c>
      <c r="J36" s="151" t="s">
        <v>76</v>
      </c>
      <c r="K36" s="151"/>
      <c r="M36" s="172"/>
      <c r="N36" s="153"/>
      <c r="O36" s="168"/>
      <c r="P36" s="170"/>
      <c r="Q36" s="163"/>
    </row>
    <row r="37" spans="1:19">
      <c r="A37" s="61">
        <v>1</v>
      </c>
      <c r="B37" s="140" t="str">
        <f>+'2'!$C$11</f>
        <v>TIARAS</v>
      </c>
      <c r="C37" s="141"/>
      <c r="D37" s="142"/>
      <c r="E37" s="7">
        <f>+'2'!$C$52</f>
        <v>1440</v>
      </c>
      <c r="F37" s="145">
        <f>+'2'!$C$15</f>
        <v>0.47142857100000002</v>
      </c>
      <c r="G37" s="146"/>
      <c r="H37" s="75">
        <f>+'2'!$C$53</f>
        <v>0.65857670246405742</v>
      </c>
      <c r="I37" s="75">
        <f t="shared" ref="I37:I41" si="0">+E37*H37</f>
        <v>948.35045154824263</v>
      </c>
      <c r="J37" s="151">
        <f>H37*3.8</f>
        <v>2.5025914693634181</v>
      </c>
      <c r="K37" s="151"/>
      <c r="M37" s="61">
        <v>1</v>
      </c>
      <c r="N37" s="105" t="str">
        <f>+B37</f>
        <v>TIARAS</v>
      </c>
      <c r="O37" s="108">
        <f>+F37</f>
        <v>0.47142857100000002</v>
      </c>
      <c r="P37" s="75">
        <f>+H37</f>
        <v>0.65857670246405742</v>
      </c>
      <c r="Q37" s="110">
        <f>P37*3.8</f>
        <v>2.5025914693634181</v>
      </c>
    </row>
    <row r="38" spans="1:19">
      <c r="A38" s="61">
        <v>2</v>
      </c>
      <c r="B38" s="140" t="str">
        <f>+'2'!$D$11</f>
        <v>CORONAS EN PUNTA</v>
      </c>
      <c r="C38" s="141"/>
      <c r="D38" s="142"/>
      <c r="E38" s="7">
        <f>+'2'!$D$52</f>
        <v>200</v>
      </c>
      <c r="F38" s="145">
        <f>+'2'!$D$15</f>
        <v>2.1428571430000001</v>
      </c>
      <c r="G38" s="146"/>
      <c r="H38" s="75">
        <f>+'2'!$D$53</f>
        <v>2.993530468666675</v>
      </c>
      <c r="I38" s="75">
        <f t="shared" si="0"/>
        <v>598.70609373333502</v>
      </c>
      <c r="J38" s="151">
        <f t="shared" ref="J38:J40" si="1">H38*3.8</f>
        <v>11.375415780933364</v>
      </c>
      <c r="K38" s="151"/>
      <c r="M38" s="61">
        <v>2</v>
      </c>
      <c r="N38" s="105" t="str">
        <f t="shared" ref="N38:N41" si="2">+B38</f>
        <v>CORONAS EN PUNTA</v>
      </c>
      <c r="O38" s="108">
        <f t="shared" ref="O38:O41" si="3">+F38</f>
        <v>2.1428571430000001</v>
      </c>
      <c r="P38" s="75">
        <f t="shared" ref="P38:P41" si="4">+H38</f>
        <v>2.993530468666675</v>
      </c>
      <c r="Q38" s="110">
        <f t="shared" ref="Q38:Q41" si="5">P38*3.8</f>
        <v>11.375415780933364</v>
      </c>
    </row>
    <row r="39" spans="1:19">
      <c r="A39" s="61">
        <v>3</v>
      </c>
      <c r="B39" s="140" t="str">
        <f>+'2'!$E$11</f>
        <v>CORONAS CON PIEDRA</v>
      </c>
      <c r="C39" s="141"/>
      <c r="D39" s="142"/>
      <c r="E39" s="7">
        <f>+'2'!$E$52</f>
        <v>500</v>
      </c>
      <c r="F39" s="145">
        <f>+'2'!$E$15</f>
        <v>1.7142857140000001</v>
      </c>
      <c r="G39" s="146"/>
      <c r="H39" s="75">
        <f>+'2'!$E$53</f>
        <v>2.3948243743745481</v>
      </c>
      <c r="I39" s="75">
        <f t="shared" si="0"/>
        <v>1197.412187187274</v>
      </c>
      <c r="J39" s="151">
        <f t="shared" si="1"/>
        <v>9.1003326226232826</v>
      </c>
      <c r="K39" s="151"/>
      <c r="M39" s="61">
        <v>3</v>
      </c>
      <c r="N39" s="105" t="str">
        <f t="shared" si="2"/>
        <v>CORONAS CON PIEDRA</v>
      </c>
      <c r="O39" s="108">
        <f t="shared" si="3"/>
        <v>1.7142857140000001</v>
      </c>
      <c r="P39" s="75">
        <f t="shared" si="4"/>
        <v>2.3948243743745481</v>
      </c>
      <c r="Q39" s="110">
        <f t="shared" si="5"/>
        <v>9.1003326226232826</v>
      </c>
    </row>
    <row r="40" spans="1:19">
      <c r="A40" s="61">
        <v>4</v>
      </c>
      <c r="B40" s="140" t="str">
        <f>+'2'!$F$11</f>
        <v>PELUCA ONDULADA SINTETICA</v>
      </c>
      <c r="C40" s="141"/>
      <c r="D40" s="142"/>
      <c r="E40" s="7">
        <f>+'2'!$F$52</f>
        <v>300</v>
      </c>
      <c r="F40" s="145">
        <f>+'2'!$F$15</f>
        <v>0.86419999999999997</v>
      </c>
      <c r="G40" s="146"/>
      <c r="H40" s="75">
        <f>+'2'!$F$53</f>
        <v>1.2072708810629942</v>
      </c>
      <c r="I40" s="75">
        <f t="shared" si="0"/>
        <v>362.18126431889823</v>
      </c>
      <c r="J40" s="151">
        <f t="shared" si="1"/>
        <v>4.5876293480393775</v>
      </c>
      <c r="K40" s="151"/>
      <c r="M40" s="61">
        <v>4</v>
      </c>
      <c r="N40" s="105" t="str">
        <f t="shared" si="2"/>
        <v>PELUCA ONDULADA SINTETICA</v>
      </c>
      <c r="O40" s="108">
        <f t="shared" si="3"/>
        <v>0.86419999999999997</v>
      </c>
      <c r="P40" s="75">
        <f t="shared" si="4"/>
        <v>1.2072708810629942</v>
      </c>
      <c r="Q40" s="110">
        <f t="shared" si="5"/>
        <v>4.5876293480393775</v>
      </c>
    </row>
    <row r="41" spans="1:19">
      <c r="A41" s="61">
        <v>5</v>
      </c>
      <c r="B41" s="140" t="str">
        <f>+'2'!$G$11</f>
        <v>PELUCA RECTA SINTETICA</v>
      </c>
      <c r="C41" s="141"/>
      <c r="D41" s="142"/>
      <c r="E41" s="7">
        <f>+'2'!$G$52</f>
        <v>300</v>
      </c>
      <c r="F41" s="145">
        <f>+'2'!$G$15</f>
        <v>0.85709999999999997</v>
      </c>
      <c r="G41" s="146"/>
      <c r="H41" s="75">
        <f>+'2'!$G$53</f>
        <v>1.1973523167774733</v>
      </c>
      <c r="I41" s="75">
        <f t="shared" si="0"/>
        <v>359.20569503324202</v>
      </c>
      <c r="J41" s="151">
        <f t="shared" ref="J41" si="6">H41*3.8</f>
        <v>4.5499388037543982</v>
      </c>
      <c r="K41" s="151"/>
      <c r="M41" s="61">
        <v>5</v>
      </c>
      <c r="N41" s="105" t="str">
        <f t="shared" si="2"/>
        <v>PELUCA RECTA SINTETICA</v>
      </c>
      <c r="O41" s="108">
        <f t="shared" si="3"/>
        <v>0.85709999999999997</v>
      </c>
      <c r="P41" s="75">
        <f t="shared" si="4"/>
        <v>1.1973523167774733</v>
      </c>
      <c r="Q41" s="110">
        <f t="shared" si="5"/>
        <v>4.5499388037543982</v>
      </c>
    </row>
    <row r="42" spans="1:19" ht="15.75">
      <c r="A42" s="66" t="s">
        <v>8</v>
      </c>
      <c r="B42" s="2"/>
      <c r="C42" s="2"/>
      <c r="D42" s="2"/>
      <c r="E42" s="43">
        <f>+SUM(E37:E41)</f>
        <v>2740</v>
      </c>
      <c r="F42" s="2"/>
      <c r="G42" s="2"/>
      <c r="I42" s="123">
        <f>+SUM(I37:I41)</f>
        <v>3465.855691820992</v>
      </c>
      <c r="J42" s="76"/>
      <c r="K42" s="77"/>
      <c r="L42" s="2"/>
    </row>
    <row r="43" spans="1:19" ht="15.75" customHeight="1">
      <c r="A43" s="66"/>
      <c r="B43" s="2"/>
      <c r="C43" s="2"/>
      <c r="D43" s="2"/>
      <c r="E43" s="43"/>
      <c r="F43" s="2"/>
      <c r="G43" s="2"/>
      <c r="I43" s="95"/>
      <c r="J43" s="76"/>
      <c r="K43" s="77"/>
      <c r="M43" s="136" t="s">
        <v>121</v>
      </c>
      <c r="N43" s="136"/>
      <c r="O43" s="136"/>
      <c r="P43" s="128" t="s">
        <v>127</v>
      </c>
      <c r="Q43" s="129"/>
    </row>
    <row r="44" spans="1:19" ht="18.75" customHeight="1">
      <c r="A44" s="93" t="s">
        <v>53</v>
      </c>
      <c r="B44" s="31"/>
      <c r="C44" s="31"/>
      <c r="D44" s="31"/>
      <c r="E44" s="31"/>
      <c r="F44" s="31"/>
      <c r="G44" s="31"/>
      <c r="H44" s="31"/>
      <c r="I44" s="31"/>
      <c r="J44" s="31"/>
      <c r="M44" s="136"/>
      <c r="N44" s="136"/>
      <c r="O44" s="136"/>
      <c r="P44" s="130"/>
      <c r="Q44" s="131"/>
    </row>
    <row r="45" spans="1:19" ht="21">
      <c r="A45" s="94" t="s">
        <v>92</v>
      </c>
      <c r="B45" s="31"/>
      <c r="C45" s="31"/>
      <c r="D45" s="31"/>
      <c r="E45" s="31"/>
      <c r="F45" s="31"/>
      <c r="G45" s="31"/>
      <c r="H45" s="31"/>
      <c r="I45" s="31"/>
      <c r="J45" s="31"/>
      <c r="M45" s="126" t="s">
        <v>123</v>
      </c>
      <c r="N45" s="127"/>
      <c r="O45" s="111">
        <f>+J31</f>
        <v>375</v>
      </c>
      <c r="P45" s="109" t="s">
        <v>146</v>
      </c>
    </row>
    <row r="46" spans="1:19" ht="21">
      <c r="A46" s="94" t="s">
        <v>93</v>
      </c>
      <c r="B46" s="31"/>
      <c r="C46" s="31"/>
      <c r="D46" s="31"/>
      <c r="E46" s="31"/>
      <c r="F46" s="31"/>
      <c r="G46" s="31"/>
      <c r="H46" s="31"/>
      <c r="I46" s="31"/>
      <c r="J46" s="31"/>
      <c r="M46" s="126" t="s">
        <v>124</v>
      </c>
      <c r="N46" s="127"/>
      <c r="O46" s="111">
        <f>+J32</f>
        <v>609.89426398099204</v>
      </c>
      <c r="P46" s="109" t="s">
        <v>147</v>
      </c>
    </row>
    <row r="47" spans="1:19" ht="18.75">
      <c r="A47" s="94" t="s">
        <v>111</v>
      </c>
      <c r="B47" s="31"/>
      <c r="C47" s="31"/>
      <c r="D47" s="31"/>
      <c r="E47" s="31"/>
      <c r="F47" s="31"/>
      <c r="G47" s="31"/>
      <c r="H47" s="31"/>
      <c r="I47" s="31"/>
      <c r="J47" s="31"/>
    </row>
    <row r="48" spans="1:19" ht="18.75">
      <c r="A48" s="94" t="s">
        <v>94</v>
      </c>
      <c r="B48" s="31"/>
      <c r="C48" s="31"/>
      <c r="D48" s="31"/>
      <c r="E48" s="31"/>
      <c r="F48" s="31"/>
      <c r="G48" s="31"/>
      <c r="H48" s="31"/>
      <c r="I48" s="31"/>
      <c r="J48" s="31"/>
      <c r="M48" s="158" t="s">
        <v>126</v>
      </c>
      <c r="N48" s="158"/>
      <c r="O48" s="132">
        <f>+O45+O46+J14</f>
        <v>3465.8556918209924</v>
      </c>
      <c r="P48" s="134" t="s">
        <v>125</v>
      </c>
      <c r="Q48" s="135"/>
      <c r="S48" s="137"/>
    </row>
    <row r="49" spans="1:19" ht="18.75" customHeight="1">
      <c r="A49" s="94" t="s">
        <v>112</v>
      </c>
      <c r="B49" s="31"/>
      <c r="C49" s="31"/>
      <c r="D49" s="31"/>
      <c r="E49" s="31"/>
      <c r="F49" s="31"/>
      <c r="G49" s="31"/>
      <c r="H49" s="31"/>
      <c r="I49" s="31"/>
      <c r="J49" s="31"/>
      <c r="M49" s="158"/>
      <c r="N49" s="158"/>
      <c r="O49" s="133"/>
      <c r="P49" s="134"/>
      <c r="Q49" s="135"/>
      <c r="S49" s="137"/>
    </row>
    <row r="50" spans="1:19" ht="18.75" customHeight="1">
      <c r="A50" s="94" t="s">
        <v>113</v>
      </c>
      <c r="B50" s="31"/>
      <c r="C50" s="31"/>
      <c r="D50" s="31"/>
      <c r="E50" s="31"/>
      <c r="F50" s="31"/>
      <c r="G50" s="31"/>
      <c r="H50" s="31"/>
      <c r="I50" s="31"/>
      <c r="J50" s="31"/>
      <c r="S50" s="137"/>
    </row>
    <row r="51" spans="1:19" ht="18.75">
      <c r="A51" s="94" t="s">
        <v>114</v>
      </c>
      <c r="B51" s="31"/>
      <c r="C51" s="31"/>
      <c r="D51" s="31"/>
      <c r="E51" s="31"/>
      <c r="F51" s="31"/>
      <c r="G51" s="31"/>
      <c r="H51" s="31"/>
      <c r="I51" s="31"/>
      <c r="J51" s="31"/>
      <c r="S51" s="137"/>
    </row>
    <row r="52" spans="1:19" ht="18.75">
      <c r="A52" s="94" t="s">
        <v>110</v>
      </c>
      <c r="B52" s="31"/>
      <c r="C52" s="31"/>
      <c r="D52" s="31"/>
      <c r="E52" s="31"/>
      <c r="F52" s="31"/>
      <c r="G52" s="31"/>
      <c r="H52" s="31"/>
      <c r="I52" s="31"/>
      <c r="J52" s="31"/>
      <c r="S52" s="137"/>
    </row>
    <row r="53" spans="1:19">
      <c r="A53" s="31"/>
      <c r="B53" s="31"/>
      <c r="C53" s="31"/>
      <c r="D53" s="31"/>
      <c r="E53" s="31"/>
      <c r="F53" s="31"/>
      <c r="G53" s="31"/>
      <c r="H53" s="31"/>
      <c r="I53" s="31"/>
      <c r="J53" s="31"/>
      <c r="S53" s="137"/>
    </row>
    <row r="55" spans="1:19" ht="18.75">
      <c r="H55" s="32"/>
      <c r="I55" s="32"/>
      <c r="J55" s="32"/>
      <c r="K55" s="31"/>
    </row>
    <row r="56" spans="1:19" ht="18.75">
      <c r="H56" s="32"/>
      <c r="I56" s="32"/>
      <c r="J56" s="32"/>
      <c r="K56" s="31"/>
    </row>
    <row r="58" spans="1:19">
      <c r="H58" s="40"/>
      <c r="I58" s="40"/>
      <c r="J58" s="40"/>
    </row>
    <row r="60" spans="1:19" ht="21">
      <c r="A60" s="154" t="s">
        <v>45</v>
      </c>
      <c r="B60" s="154"/>
      <c r="C60" s="154"/>
      <c r="D60" s="154"/>
      <c r="E60" s="154"/>
      <c r="F60" s="154"/>
      <c r="G60" s="154"/>
      <c r="H60" s="154"/>
      <c r="I60" s="154"/>
      <c r="J60" s="154"/>
      <c r="K60" s="154"/>
    </row>
    <row r="64" spans="1:19">
      <c r="A64" s="51" t="s">
        <v>47</v>
      </c>
      <c r="B64" s="31"/>
      <c r="C64" s="31"/>
      <c r="D64" s="31"/>
    </row>
    <row r="65" spans="1:4">
      <c r="A65" s="51" t="s">
        <v>56</v>
      </c>
      <c r="B65" s="31"/>
      <c r="C65" s="31"/>
      <c r="D65" s="31"/>
    </row>
    <row r="66" spans="1:4">
      <c r="A66" s="31" t="s">
        <v>55</v>
      </c>
      <c r="C66" s="31"/>
      <c r="D66" s="31"/>
    </row>
    <row r="67" spans="1:4">
      <c r="A67" s="51" t="s">
        <v>48</v>
      </c>
      <c r="B67" s="31"/>
      <c r="C67" s="31"/>
      <c r="D67" s="31"/>
    </row>
    <row r="68" spans="1:4">
      <c r="A68" s="51" t="s">
        <v>58</v>
      </c>
      <c r="B68" s="31"/>
      <c r="C68" s="31"/>
      <c r="D68" s="31"/>
    </row>
    <row r="69" spans="1:4">
      <c r="A69" s="31" t="s">
        <v>57</v>
      </c>
      <c r="C69" s="31"/>
      <c r="D69" s="31"/>
    </row>
    <row r="70" spans="1:4">
      <c r="A70" s="51" t="s">
        <v>49</v>
      </c>
      <c r="B70" s="31"/>
      <c r="C70" s="31"/>
      <c r="D70" s="31"/>
    </row>
    <row r="71" spans="1:4">
      <c r="A71" s="51" t="s">
        <v>51</v>
      </c>
      <c r="B71" s="31"/>
      <c r="C71" s="31"/>
      <c r="D71" s="31"/>
    </row>
    <row r="72" spans="1:4">
      <c r="A72" s="51" t="s">
        <v>59</v>
      </c>
      <c r="B72" s="31"/>
      <c r="C72" s="31"/>
      <c r="D72" s="31"/>
    </row>
    <row r="73" spans="1:4">
      <c r="A73" s="51" t="s">
        <v>60</v>
      </c>
      <c r="B73" s="31"/>
      <c r="C73" s="31"/>
      <c r="D73" s="31"/>
    </row>
    <row r="74" spans="1:4">
      <c r="A74" s="51" t="s">
        <v>62</v>
      </c>
      <c r="B74" s="31"/>
      <c r="C74" s="31"/>
      <c r="D74" s="31"/>
    </row>
    <row r="75" spans="1:4">
      <c r="A75" s="51" t="s">
        <v>61</v>
      </c>
      <c r="B75" s="31"/>
      <c r="C75" s="31"/>
      <c r="D75" s="31"/>
    </row>
    <row r="76" spans="1:4">
      <c r="A76" s="51" t="s">
        <v>50</v>
      </c>
      <c r="B76" s="31"/>
      <c r="C76" s="31"/>
      <c r="D76" s="31"/>
    </row>
    <row r="77" spans="1:4">
      <c r="A77" s="51" t="s">
        <v>131</v>
      </c>
      <c r="B77" s="31"/>
      <c r="C77" s="31"/>
      <c r="D77" s="31"/>
    </row>
    <row r="81" spans="1:10">
      <c r="A81" s="51" t="s">
        <v>63</v>
      </c>
      <c r="B81" s="31"/>
      <c r="C81" s="31"/>
      <c r="D81" s="31"/>
      <c r="E81" s="31"/>
      <c r="F81" s="31"/>
      <c r="G81" s="31"/>
      <c r="H81" s="31"/>
      <c r="I81" s="31"/>
      <c r="J81" s="31"/>
    </row>
    <row r="82" spans="1:10">
      <c r="A82" s="113" t="s">
        <v>128</v>
      </c>
      <c r="B82" s="31"/>
      <c r="C82" s="31"/>
      <c r="D82" s="31"/>
      <c r="E82" s="31"/>
      <c r="F82" s="31"/>
      <c r="G82" s="31"/>
      <c r="H82" s="31"/>
      <c r="I82" s="31"/>
      <c r="J82" s="31"/>
    </row>
    <row r="83" spans="1:10">
      <c r="A83" s="51" t="s">
        <v>64</v>
      </c>
      <c r="B83" s="31"/>
      <c r="C83" s="31"/>
      <c r="D83" s="31"/>
      <c r="E83" s="31"/>
      <c r="F83" s="31"/>
      <c r="G83" s="31"/>
      <c r="H83" s="31"/>
      <c r="I83" s="31"/>
      <c r="J83" s="31"/>
    </row>
    <row r="84" spans="1:10">
      <c r="A84" s="112" t="s">
        <v>129</v>
      </c>
      <c r="C84" s="31"/>
      <c r="D84" s="31"/>
      <c r="E84" s="31"/>
      <c r="F84" s="31"/>
      <c r="G84" s="31"/>
      <c r="H84" s="31"/>
      <c r="I84" s="31"/>
      <c r="J84" s="31"/>
    </row>
    <row r="85" spans="1:10">
      <c r="A85" s="51" t="s">
        <v>65</v>
      </c>
      <c r="B85" s="31"/>
      <c r="C85" s="31"/>
      <c r="D85" s="31"/>
      <c r="E85" s="31"/>
      <c r="F85" s="31"/>
      <c r="G85" s="31"/>
      <c r="H85" s="31"/>
      <c r="I85" s="31"/>
      <c r="J85" s="31"/>
    </row>
    <row r="86" spans="1:10">
      <c r="A86" s="35" t="s">
        <v>52</v>
      </c>
      <c r="C86" s="31"/>
      <c r="D86" s="31"/>
      <c r="E86" s="31"/>
      <c r="F86" s="31"/>
      <c r="G86" s="31"/>
      <c r="H86" s="31"/>
      <c r="I86" s="31"/>
      <c r="J86" s="31"/>
    </row>
    <row r="87" spans="1:10">
      <c r="A87" s="51" t="s">
        <v>66</v>
      </c>
      <c r="B87" s="31"/>
      <c r="C87" s="31"/>
      <c r="D87" s="31"/>
      <c r="E87" s="31"/>
      <c r="F87" s="31"/>
      <c r="G87" s="31"/>
      <c r="H87" s="31"/>
      <c r="I87" s="31"/>
      <c r="J87" s="31"/>
    </row>
    <row r="88" spans="1:10">
      <c r="A88" s="51" t="s">
        <v>67</v>
      </c>
      <c r="B88" s="31"/>
      <c r="C88" s="31"/>
      <c r="D88" s="31"/>
      <c r="E88" s="31"/>
      <c r="F88" s="31"/>
      <c r="G88" s="31"/>
      <c r="H88" s="31"/>
      <c r="I88" s="31"/>
      <c r="J88" s="31"/>
    </row>
    <row r="89" spans="1:10">
      <c r="A89" s="51" t="s">
        <v>68</v>
      </c>
      <c r="B89" s="31"/>
      <c r="C89" s="31"/>
      <c r="D89" s="31"/>
      <c r="E89" s="31"/>
      <c r="F89" s="31"/>
      <c r="G89" s="31"/>
      <c r="H89" s="31"/>
      <c r="I89" s="31"/>
      <c r="J89" s="31"/>
    </row>
    <row r="90" spans="1:10">
      <c r="A90" s="51" t="s">
        <v>69</v>
      </c>
      <c r="B90" s="31"/>
      <c r="C90" s="31"/>
      <c r="D90" s="31"/>
      <c r="E90" s="31"/>
      <c r="F90" s="31"/>
      <c r="G90" s="31"/>
      <c r="H90" s="31"/>
      <c r="I90" s="31"/>
      <c r="J90" s="31"/>
    </row>
    <row r="91" spans="1:10">
      <c r="A91" s="51" t="s">
        <v>130</v>
      </c>
      <c r="B91" s="31"/>
      <c r="C91" s="31"/>
      <c r="D91" s="31"/>
      <c r="E91" s="31"/>
      <c r="F91" s="31"/>
      <c r="G91" s="31"/>
      <c r="H91" s="31"/>
      <c r="I91" s="31"/>
      <c r="J91" s="31"/>
    </row>
    <row r="95" spans="1:10">
      <c r="A95" s="51" t="s">
        <v>83</v>
      </c>
      <c r="B95" s="31"/>
      <c r="C95" s="31"/>
      <c r="D95" s="31"/>
    </row>
    <row r="96" spans="1:10">
      <c r="A96" s="51" t="s">
        <v>84</v>
      </c>
      <c r="B96" s="31"/>
      <c r="C96" s="31"/>
      <c r="D96" s="31"/>
    </row>
    <row r="97" spans="1:10">
      <c r="A97" s="41" t="s">
        <v>132</v>
      </c>
      <c r="B97" s="31"/>
      <c r="C97" s="31"/>
      <c r="D97" s="31"/>
    </row>
    <row r="98" spans="1:10">
      <c r="A98" s="41" t="s">
        <v>133</v>
      </c>
    </row>
    <row r="99" spans="1:10">
      <c r="A99" s="41" t="s">
        <v>134</v>
      </c>
    </row>
    <row r="104" spans="1:10">
      <c r="B104" s="41"/>
    </row>
    <row r="105" spans="1:10" ht="15.75">
      <c r="B105" s="42"/>
    </row>
    <row r="106" spans="1:10" ht="15.75">
      <c r="B106" s="42"/>
    </row>
    <row r="108" spans="1:10">
      <c r="C108" s="43"/>
      <c r="H108" s="43"/>
      <c r="I108" s="43"/>
      <c r="J108" s="43"/>
    </row>
    <row r="109" spans="1:10">
      <c r="C109" s="43"/>
      <c r="H109" s="43"/>
      <c r="I109" s="43"/>
      <c r="J109" s="43"/>
    </row>
    <row r="111" spans="1:10">
      <c r="C111" s="2"/>
      <c r="H111" s="2"/>
      <c r="I111" s="2"/>
      <c r="J111" s="2"/>
    </row>
    <row r="113" spans="2:2" ht="15.75">
      <c r="B113" s="44"/>
    </row>
  </sheetData>
  <sheetProtection selectLockedCells="1"/>
  <mergeCells count="47">
    <mergeCell ref="Y11:Y16"/>
    <mergeCell ref="E9:F9"/>
    <mergeCell ref="B38:D38"/>
    <mergeCell ref="F38:G38"/>
    <mergeCell ref="J38:K38"/>
    <mergeCell ref="Q35:Q36"/>
    <mergeCell ref="A15:C15"/>
    <mergeCell ref="A14:C14"/>
    <mergeCell ref="I9:K9"/>
    <mergeCell ref="O35:O36"/>
    <mergeCell ref="P35:P36"/>
    <mergeCell ref="M35:M36"/>
    <mergeCell ref="A35:K35"/>
    <mergeCell ref="B40:D40"/>
    <mergeCell ref="J39:K39"/>
    <mergeCell ref="J40:K40"/>
    <mergeCell ref="F41:G41"/>
    <mergeCell ref="F40:G40"/>
    <mergeCell ref="J36:K36"/>
    <mergeCell ref="A60:K60"/>
    <mergeCell ref="B41:D41"/>
    <mergeCell ref="J37:K37"/>
    <mergeCell ref="B37:D37"/>
    <mergeCell ref="F37:G37"/>
    <mergeCell ref="S48:S53"/>
    <mergeCell ref="F3:I3"/>
    <mergeCell ref="F4:I4"/>
    <mergeCell ref="D7:F7"/>
    <mergeCell ref="B36:D36"/>
    <mergeCell ref="I11:K11"/>
    <mergeCell ref="A29:E29"/>
    <mergeCell ref="B39:D39"/>
    <mergeCell ref="F39:G39"/>
    <mergeCell ref="A13:E13"/>
    <mergeCell ref="A19:E19"/>
    <mergeCell ref="M33:Q34"/>
    <mergeCell ref="I8:K8"/>
    <mergeCell ref="J41:K41"/>
    <mergeCell ref="N35:N36"/>
    <mergeCell ref="F36:G36"/>
    <mergeCell ref="M45:N45"/>
    <mergeCell ref="M46:N46"/>
    <mergeCell ref="P43:Q44"/>
    <mergeCell ref="O48:O49"/>
    <mergeCell ref="P48:Q49"/>
    <mergeCell ref="M43:O44"/>
    <mergeCell ref="M48:N49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hyperlinks>
    <hyperlink ref="B10" r:id="rId1" xr:uid="{FEFD8F24-2296-4F3F-BF22-7BF912A30A83}"/>
  </hyperlink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2"/>
  <rowBreaks count="1" manualBreakCount="1">
    <brk id="53" max="10" man="1"/>
  </rowBreaks>
  <cellWatches>
    <cellWatch r="J16"/>
  </cellWatches>
  <ignoredErrors>
    <ignoredError sqref="I26" numberStoredAsText="1"/>
  </ignoredError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fgdfg">
                <anchor moveWithCells="1" sizeWithCells="1">
                  <from>
                    <xdr:col>17</xdr:col>
                    <xdr:colOff>219075</xdr:colOff>
                    <xdr:row>2</xdr:row>
                    <xdr:rowOff>219075</xdr:rowOff>
                  </from>
                  <to>
                    <xdr:col>18</xdr:col>
                    <xdr:colOff>466725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Z54"/>
  <sheetViews>
    <sheetView zoomScaleNormal="100" workbookViewId="0">
      <selection activeCell="K6" sqref="K6"/>
    </sheetView>
  </sheetViews>
  <sheetFormatPr baseColWidth="10" defaultRowHeight="15"/>
  <cols>
    <col min="1" max="1" width="2.85546875" style="1" customWidth="1"/>
    <col min="2" max="2" width="19.42578125" style="1" customWidth="1"/>
    <col min="3" max="7" width="11.28515625" style="2" customWidth="1"/>
    <col min="8" max="9" width="11.42578125" style="2"/>
    <col min="10" max="10" width="11.28515625" style="2" customWidth="1"/>
    <col min="11" max="12" width="11.42578125" style="2"/>
    <col min="13" max="13" width="13.42578125" style="2" bestFit="1" customWidth="1"/>
    <col min="14" max="14" width="11.42578125" style="2" customWidth="1"/>
    <col min="15" max="15" width="14" style="2" customWidth="1"/>
    <col min="16" max="16" width="11.85546875" style="2" bestFit="1" customWidth="1"/>
    <col min="17" max="51" width="11.42578125" style="1"/>
  </cols>
  <sheetData>
    <row r="1" spans="2:51" ht="15.75" thickBot="1">
      <c r="B1" s="176" t="s">
        <v>12</v>
      </c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8"/>
    </row>
    <row r="2" spans="2:51" s="1" customFormat="1" ht="35.1" customHeight="1"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</row>
    <row r="3" spans="2:51" s="1" customFormat="1" ht="23.1" customHeight="1">
      <c r="B3" s="43"/>
      <c r="C3" s="188" t="s">
        <v>148</v>
      </c>
      <c r="D3" s="188"/>
      <c r="E3" s="188"/>
      <c r="F3" s="186"/>
      <c r="G3" s="187"/>
      <c r="H3" s="117" t="s">
        <v>137</v>
      </c>
      <c r="I3" s="43"/>
      <c r="J3" s="43"/>
      <c r="K3" s="43"/>
      <c r="L3" s="43"/>
      <c r="M3" s="43"/>
      <c r="N3" s="43"/>
      <c r="O3" s="43"/>
      <c r="P3" s="43"/>
    </row>
    <row r="4" spans="2:51">
      <c r="B4" s="114" t="s">
        <v>135</v>
      </c>
      <c r="C4" s="173">
        <v>1</v>
      </c>
      <c r="D4" s="173"/>
      <c r="E4" s="173"/>
      <c r="F4" s="174">
        <v>2</v>
      </c>
      <c r="G4" s="175"/>
      <c r="H4" s="117">
        <f>COUNT(C4:G4)</f>
        <v>2</v>
      </c>
      <c r="I4" s="43"/>
      <c r="J4" s="43"/>
      <c r="K4" s="43"/>
      <c r="L4" s="43"/>
      <c r="M4" s="43"/>
      <c r="N4" s="43"/>
      <c r="O4" s="43"/>
      <c r="P4" s="43"/>
    </row>
    <row r="5" spans="2:51">
      <c r="B5" s="114" t="s">
        <v>30</v>
      </c>
      <c r="C5" s="183">
        <v>26</v>
      </c>
      <c r="D5" s="183"/>
      <c r="E5" s="183"/>
      <c r="F5" s="184">
        <v>4</v>
      </c>
      <c r="G5" s="185"/>
      <c r="H5" s="117">
        <f>SUM(C5:G5)</f>
        <v>30</v>
      </c>
    </row>
    <row r="6" spans="2:51">
      <c r="B6" s="114" t="s">
        <v>95</v>
      </c>
      <c r="C6" s="183">
        <v>113</v>
      </c>
      <c r="D6" s="183"/>
      <c r="E6" s="183"/>
      <c r="F6" s="184">
        <v>96</v>
      </c>
      <c r="G6" s="185"/>
      <c r="H6" s="117">
        <f>SUM(C6:G6)</f>
        <v>209</v>
      </c>
    </row>
    <row r="7" spans="2:51">
      <c r="B7" s="106" t="s">
        <v>73</v>
      </c>
      <c r="C7" s="124"/>
      <c r="D7" s="124"/>
      <c r="E7" s="124"/>
    </row>
    <row r="8" spans="2:51">
      <c r="B8" s="114" t="s">
        <v>136</v>
      </c>
      <c r="C8" s="173">
        <v>0.56999999999999995</v>
      </c>
      <c r="D8" s="173"/>
      <c r="E8" s="173"/>
      <c r="F8" s="174">
        <v>9.6000000000000002E-2</v>
      </c>
      <c r="G8" s="175"/>
      <c r="H8" s="117">
        <f>SUM(C8:G8)</f>
        <v>0.66599999999999993</v>
      </c>
    </row>
    <row r="9" spans="2:51" s="1" customFormat="1">
      <c r="B9" s="119"/>
      <c r="C9" s="2"/>
      <c r="D9" s="2"/>
      <c r="E9" s="2"/>
      <c r="F9" s="2"/>
      <c r="G9" s="2"/>
      <c r="H9" s="120"/>
      <c r="I9" s="2"/>
      <c r="J9" s="2"/>
      <c r="K9" s="2"/>
      <c r="L9" s="2"/>
      <c r="M9" s="2"/>
      <c r="N9" s="2"/>
      <c r="O9" s="2"/>
      <c r="P9" s="2"/>
    </row>
    <row r="10" spans="2:51">
      <c r="C10" s="118">
        <v>1</v>
      </c>
      <c r="D10" s="118">
        <v>2</v>
      </c>
      <c r="E10" s="118">
        <v>3</v>
      </c>
      <c r="F10" s="118">
        <v>4</v>
      </c>
      <c r="G10" s="118">
        <v>5</v>
      </c>
    </row>
    <row r="11" spans="2:51" ht="15" customHeight="1">
      <c r="B11" s="103" t="s">
        <v>90</v>
      </c>
      <c r="C11" s="103" t="s">
        <v>140</v>
      </c>
      <c r="D11" s="103" t="s">
        <v>141</v>
      </c>
      <c r="E11" s="103" t="s">
        <v>142</v>
      </c>
      <c r="F11" s="103" t="s">
        <v>138</v>
      </c>
      <c r="G11" s="103" t="s">
        <v>139</v>
      </c>
      <c r="H11" s="103" t="s">
        <v>8</v>
      </c>
    </row>
    <row r="12" spans="2:51" ht="15" hidden="1" customHeight="1">
      <c r="B12" s="5" t="s">
        <v>96</v>
      </c>
      <c r="C12" s="7"/>
      <c r="D12" s="7"/>
      <c r="E12" s="7"/>
      <c r="F12" s="7"/>
      <c r="G12" s="7"/>
      <c r="H12" s="101">
        <f>SUM(C12:G12)</f>
        <v>0</v>
      </c>
    </row>
    <row r="13" spans="2:51" ht="15" hidden="1" customHeight="1">
      <c r="B13" s="5" t="s">
        <v>95</v>
      </c>
      <c r="C13" s="99"/>
      <c r="D13" s="99"/>
      <c r="E13" s="99"/>
      <c r="F13" s="99"/>
      <c r="G13" s="99"/>
      <c r="H13" s="102">
        <f>SUM(C13:G13)</f>
        <v>0</v>
      </c>
    </row>
    <row r="14" spans="2:51" ht="15" hidden="1" customHeight="1">
      <c r="B14" s="5" t="s">
        <v>88</v>
      </c>
      <c r="C14" s="98"/>
      <c r="D14" s="98"/>
      <c r="E14" s="98"/>
      <c r="F14" s="98"/>
      <c r="G14" s="98"/>
      <c r="H14" s="100">
        <f>SUM(C14:G14)</f>
        <v>0</v>
      </c>
      <c r="I14" s="1"/>
      <c r="L14" s="1"/>
      <c r="M14" s="1"/>
      <c r="N14" s="1"/>
      <c r="O14" s="1"/>
      <c r="P14" s="1"/>
      <c r="AR14"/>
      <c r="AS14"/>
      <c r="AT14"/>
      <c r="AU14"/>
      <c r="AV14"/>
      <c r="AW14"/>
      <c r="AX14"/>
      <c r="AY14"/>
    </row>
    <row r="15" spans="2:51" ht="15" customHeight="1">
      <c r="B15" s="96" t="s">
        <v>0</v>
      </c>
      <c r="C15" s="97">
        <v>0.47142857100000002</v>
      </c>
      <c r="D15" s="97">
        <v>2.1428571430000001</v>
      </c>
      <c r="E15" s="97">
        <v>1.7142857140000001</v>
      </c>
      <c r="F15" s="97">
        <v>0.86419999999999997</v>
      </c>
      <c r="G15" s="97">
        <v>0.85709999999999997</v>
      </c>
      <c r="H15" s="1"/>
      <c r="I15" s="3"/>
      <c r="L15" s="3"/>
      <c r="M15" s="3"/>
      <c r="N15" s="3"/>
      <c r="O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R15"/>
      <c r="AS15"/>
      <c r="AT15"/>
      <c r="AU15"/>
      <c r="AV15"/>
      <c r="AW15"/>
      <c r="AX15"/>
      <c r="AY15"/>
    </row>
    <row r="16" spans="2:51" ht="15" customHeight="1">
      <c r="B16" s="56" t="s">
        <v>70</v>
      </c>
      <c r="C16" s="57"/>
      <c r="D16" s="57">
        <v>0</v>
      </c>
      <c r="E16" s="57"/>
      <c r="F16" s="57"/>
      <c r="G16" s="57"/>
      <c r="H16" s="1"/>
      <c r="I16" s="3"/>
      <c r="K16" s="2" t="str">
        <f>'1'!E11</f>
        <v>NUEVO</v>
      </c>
      <c r="L16" s="3"/>
      <c r="M16" s="3"/>
      <c r="N16" s="3"/>
      <c r="O16" s="3"/>
      <c r="P16" s="50" t="s">
        <v>54</v>
      </c>
      <c r="Q16" s="50" t="s">
        <v>54</v>
      </c>
      <c r="R16" s="87">
        <v>0.6</v>
      </c>
      <c r="S16" s="87">
        <v>0.4</v>
      </c>
      <c r="T16" s="3"/>
      <c r="U16" s="3"/>
      <c r="V16" s="3"/>
      <c r="W16" s="3"/>
      <c r="X16" s="3"/>
      <c r="Y16" s="3"/>
      <c r="Z16" s="3"/>
      <c r="AA16" s="3"/>
      <c r="AR16"/>
      <c r="AS16"/>
      <c r="AT16"/>
      <c r="AU16"/>
      <c r="AV16"/>
      <c r="AW16"/>
      <c r="AX16"/>
      <c r="AY16"/>
    </row>
    <row r="17" spans="2:52">
      <c r="B17" s="28" t="s">
        <v>1</v>
      </c>
      <c r="C17" s="7">
        <v>1440</v>
      </c>
      <c r="D17" s="7">
        <v>200</v>
      </c>
      <c r="E17" s="7">
        <v>500</v>
      </c>
      <c r="F17" s="7">
        <v>300</v>
      </c>
      <c r="G17" s="7">
        <v>300</v>
      </c>
      <c r="H17" s="101">
        <f>SUM(C17:G17)</f>
        <v>2740</v>
      </c>
      <c r="I17" s="1"/>
      <c r="K17" s="1"/>
      <c r="L17" s="1"/>
      <c r="M17" s="1"/>
      <c r="N17" s="1"/>
      <c r="O17" s="7" t="str">
        <f>'1'!R10</f>
        <v>NUEVO</v>
      </c>
      <c r="P17" s="48">
        <f>'1'!S10</f>
        <v>375</v>
      </c>
      <c r="Q17" s="85">
        <f>'1'!T10</f>
        <v>375</v>
      </c>
      <c r="R17" s="3">
        <f>$R$16*P17</f>
        <v>225</v>
      </c>
      <c r="AR17"/>
      <c r="AS17"/>
      <c r="AT17"/>
      <c r="AU17"/>
      <c r="AV17"/>
      <c r="AW17"/>
      <c r="AX17"/>
      <c r="AY17"/>
    </row>
    <row r="18" spans="2:52">
      <c r="B18" s="17" t="s">
        <v>2</v>
      </c>
      <c r="C18" s="18">
        <f>C15*C17</f>
        <v>678.85714224000003</v>
      </c>
      <c r="D18" s="18">
        <f>D15*D17</f>
        <v>428.57142859999999</v>
      </c>
      <c r="E18" s="18">
        <f t="shared" ref="E18:G18" si="0">E15*E17</f>
        <v>857.14285700000005</v>
      </c>
      <c r="F18" s="18">
        <f t="shared" si="0"/>
        <v>259.26</v>
      </c>
      <c r="G18" s="18">
        <f t="shared" si="0"/>
        <v>257.13</v>
      </c>
      <c r="H18" s="18">
        <f>SUM(C18:G18)</f>
        <v>2480.9614278400004</v>
      </c>
      <c r="I18" s="1"/>
      <c r="N18" s="1"/>
      <c r="O18" s="7" t="str">
        <f>'1'!R11</f>
        <v>ANTIGUO</v>
      </c>
      <c r="P18" s="48">
        <f>'1'!S11</f>
        <v>350</v>
      </c>
      <c r="Q18" s="85">
        <f>'1'!T11</f>
        <v>350</v>
      </c>
      <c r="R18" s="3">
        <f t="shared" ref="R18" si="1">$R$16*P18</f>
        <v>210</v>
      </c>
      <c r="AR18"/>
      <c r="AS18"/>
      <c r="AT18"/>
      <c r="AU18"/>
      <c r="AV18"/>
      <c r="AW18"/>
      <c r="AX18"/>
      <c r="AY18"/>
    </row>
    <row r="19" spans="2:52" ht="16.5" customHeight="1">
      <c r="B19" s="58" t="s">
        <v>2</v>
      </c>
      <c r="C19" s="59">
        <f>(MAX(C15:C16))*C17</f>
        <v>678.85714224000003</v>
      </c>
      <c r="D19" s="59">
        <f>(MAX(D15:D16))*D17</f>
        <v>428.57142859999999</v>
      </c>
      <c r="E19" s="59">
        <f t="shared" ref="E19:G19" si="2">(MAX(E15:E16))*E17</f>
        <v>857.14285700000005</v>
      </c>
      <c r="F19" s="59">
        <f t="shared" si="2"/>
        <v>259.26</v>
      </c>
      <c r="G19" s="59">
        <f t="shared" si="2"/>
        <v>257.13</v>
      </c>
      <c r="H19" s="59">
        <f>SUM(C19:G19)</f>
        <v>2480.9614278400004</v>
      </c>
      <c r="I19" s="1"/>
      <c r="N19" s="1"/>
      <c r="O19" s="7" t="str">
        <f>'1'!R12</f>
        <v>MANUAL</v>
      </c>
      <c r="P19" s="48">
        <f>'1'!S12</f>
        <v>0</v>
      </c>
      <c r="Q19" s="85">
        <f>'1'!T12</f>
        <v>0</v>
      </c>
      <c r="R19" s="3">
        <f>$R$16*P19</f>
        <v>0</v>
      </c>
      <c r="AR19"/>
      <c r="AS19"/>
      <c r="AT19"/>
      <c r="AU19"/>
      <c r="AV19"/>
      <c r="AW19"/>
      <c r="AX19"/>
      <c r="AY19"/>
    </row>
    <row r="20" spans="2:52" ht="15" customHeight="1">
      <c r="B20" s="5" t="s">
        <v>3</v>
      </c>
      <c r="C20" s="8">
        <f>C18/$H$18</f>
        <v>0.27362664111671958</v>
      </c>
      <c r="D20" s="8">
        <f>D18/$H$18</f>
        <v>0.17274409178264699</v>
      </c>
      <c r="E20" s="8">
        <f>E18/$H$18</f>
        <v>0.34548818348468013</v>
      </c>
      <c r="F20" s="8">
        <f>F18/$H$18</f>
        <v>0.10449981087602782</v>
      </c>
      <c r="G20" s="8">
        <f>G18/$H$18</f>
        <v>0.10364127273992531</v>
      </c>
      <c r="H20" s="7" t="s">
        <v>8</v>
      </c>
      <c r="I20" s="30"/>
      <c r="N20" s="1"/>
      <c r="O20" s="7" t="str">
        <f>'1'!R13</f>
        <v>SOCIO</v>
      </c>
      <c r="P20" s="48">
        <f>'1'!S13</f>
        <v>250</v>
      </c>
      <c r="Q20" s="85">
        <f>'1'!T13</f>
        <v>250</v>
      </c>
      <c r="R20" s="3">
        <f>$R$16*P20</f>
        <v>150</v>
      </c>
      <c r="AR20"/>
      <c r="AS20"/>
      <c r="AT20"/>
      <c r="AU20"/>
      <c r="AV20"/>
      <c r="AW20"/>
      <c r="AX20"/>
      <c r="AY20"/>
    </row>
    <row r="21" spans="2:52">
      <c r="B21" s="28" t="s">
        <v>4</v>
      </c>
      <c r="C21" s="6">
        <f>$H$21*C20</f>
        <v>61.565994251261905</v>
      </c>
      <c r="D21" s="6">
        <f>$H$21*D20</f>
        <v>38.867420651095571</v>
      </c>
      <c r="E21" s="6">
        <f>$H$21*E20</f>
        <v>77.734841284053033</v>
      </c>
      <c r="F21" s="6">
        <f>$H$21*F20</f>
        <v>23.512457447106261</v>
      </c>
      <c r="G21" s="6">
        <f>$H$21*G20</f>
        <v>23.319286366483194</v>
      </c>
      <c r="H21" s="29">
        <f>IF(P19=0,IF('1'!E11="NUEVO",'2'!P17*60%,IF('1'!E11="ANTIGUO",'2'!P18*60%,IF('1'!E11="SOCIO",60%*(250*'1'!I11),IF('1'!E11="PILOTO",60%*(250*'1'!I11),IF('2'!P19&gt;0,60%*(250*'1'!I11),IF('1'!E11="MANUAL",60%*(IF('1'!T12&gt;250,('1'!T12*'1'!I11),IF('1'!T12&lt;=250,(250*'1'!I11)))))))))),IF(Q19&lt;=250,(250*'1'!I11)*60%,P19*60%))</f>
        <v>225</v>
      </c>
      <c r="I21" s="87"/>
      <c r="J21" s="180"/>
      <c r="K21" s="49"/>
      <c r="L21" s="1"/>
      <c r="M21" s="1"/>
      <c r="N21" s="1"/>
      <c r="O21" s="7" t="str">
        <f>'1'!R14</f>
        <v>PILOTO</v>
      </c>
      <c r="P21" s="48">
        <f>'1'!S14</f>
        <v>250</v>
      </c>
      <c r="Q21" s="85">
        <f>'1'!T14</f>
        <v>250</v>
      </c>
      <c r="R21" s="3">
        <f>$R$16*P21</f>
        <v>150</v>
      </c>
      <c r="AR21"/>
      <c r="AS21"/>
      <c r="AT21"/>
      <c r="AU21"/>
      <c r="AV21"/>
      <c r="AW21"/>
      <c r="AX21"/>
      <c r="AY21"/>
    </row>
    <row r="22" spans="2:52">
      <c r="B22" s="17" t="s">
        <v>5</v>
      </c>
      <c r="C22" s="18">
        <f>C18+C21</f>
        <v>740.42313649126197</v>
      </c>
      <c r="D22" s="18">
        <f t="shared" ref="D22:G22" si="3">D18+D21</f>
        <v>467.43884925109558</v>
      </c>
      <c r="E22" s="18">
        <f t="shared" si="3"/>
        <v>934.87769828405305</v>
      </c>
      <c r="F22" s="18">
        <f t="shared" si="3"/>
        <v>282.77245744710626</v>
      </c>
      <c r="G22" s="18">
        <f t="shared" si="3"/>
        <v>280.44928636648319</v>
      </c>
      <c r="H22" s="18">
        <f>SUM(C22:G22)</f>
        <v>2705.9614278399999</v>
      </c>
      <c r="I22" s="1"/>
      <c r="J22" s="180"/>
      <c r="K22" s="49"/>
      <c r="L22" s="1"/>
      <c r="M22" s="84" t="s">
        <v>87</v>
      </c>
      <c r="N22" s="84"/>
      <c r="O22" s="50">
        <f>250*60%</f>
        <v>150</v>
      </c>
      <c r="P22" s="50">
        <f>250*40%</f>
        <v>100</v>
      </c>
      <c r="Q22" s="85"/>
      <c r="R22" s="3"/>
      <c r="AP22"/>
      <c r="AQ22"/>
      <c r="AR22"/>
      <c r="AS22"/>
      <c r="AT22"/>
      <c r="AU22"/>
      <c r="AV22"/>
      <c r="AW22"/>
      <c r="AX22"/>
      <c r="AY22"/>
    </row>
    <row r="23" spans="2:52" ht="14.25" customHeight="1">
      <c r="B23" s="58" t="s">
        <v>71</v>
      </c>
      <c r="C23" s="59">
        <f>C19+C21</f>
        <v>740.42313649126197</v>
      </c>
      <c r="D23" s="59">
        <f t="shared" ref="D23:G23" si="4">D19+D21</f>
        <v>467.43884925109558</v>
      </c>
      <c r="E23" s="59">
        <f t="shared" si="4"/>
        <v>934.87769828405305</v>
      </c>
      <c r="F23" s="59">
        <f t="shared" si="4"/>
        <v>282.77245744710626</v>
      </c>
      <c r="G23" s="59">
        <f t="shared" si="4"/>
        <v>280.44928636648319</v>
      </c>
      <c r="H23" s="59">
        <f>SUM(C23:G23)</f>
        <v>2705.9614278399999</v>
      </c>
      <c r="I23" s="1"/>
      <c r="K23" s="49"/>
      <c r="L23" s="1"/>
      <c r="M23" s="30"/>
      <c r="N23" s="1"/>
      <c r="AR23"/>
      <c r="AS23"/>
      <c r="AT23"/>
      <c r="AU23"/>
      <c r="AV23"/>
      <c r="AW23"/>
      <c r="AX23"/>
      <c r="AY23"/>
    </row>
    <row r="24" spans="2:52" ht="14.25" customHeight="1">
      <c r="B24" s="28" t="s">
        <v>6</v>
      </c>
      <c r="C24" s="6">
        <f>$H$24*C20</f>
        <v>13.681332055835979</v>
      </c>
      <c r="D24" s="6">
        <f>$H$24*D20</f>
        <v>8.6372045891323488</v>
      </c>
      <c r="E24" s="6">
        <f>$H$24*E20</f>
        <v>17.274409174234005</v>
      </c>
      <c r="F24" s="6">
        <f>$H$24*F20</f>
        <v>5.2249905438013906</v>
      </c>
      <c r="G24" s="6">
        <f>$H$24*G20</f>
        <v>5.1820636369962658</v>
      </c>
      <c r="H24" s="29">
        <f>IF(H18&lt;5000,50,100)</f>
        <v>50</v>
      </c>
      <c r="I24" s="1"/>
      <c r="K24" s="49"/>
      <c r="L24" s="1"/>
      <c r="M24" s="1"/>
      <c r="N24" s="1"/>
      <c r="O24" s="1"/>
      <c r="P24" s="1"/>
      <c r="AR24"/>
      <c r="AS24"/>
      <c r="AT24"/>
      <c r="AU24"/>
      <c r="AV24"/>
      <c r="AW24"/>
      <c r="AX24"/>
      <c r="AY24"/>
    </row>
    <row r="25" spans="2:52">
      <c r="B25" s="17" t="s">
        <v>7</v>
      </c>
      <c r="C25" s="18">
        <f t="shared" ref="C25:G25" si="5">C22+C24</f>
        <v>754.10446854709789</v>
      </c>
      <c r="D25" s="18">
        <f t="shared" si="5"/>
        <v>476.07605384022793</v>
      </c>
      <c r="E25" s="18">
        <f t="shared" si="5"/>
        <v>952.15210745828711</v>
      </c>
      <c r="F25" s="18">
        <f t="shared" si="5"/>
        <v>287.99744799090763</v>
      </c>
      <c r="G25" s="18">
        <f t="shared" si="5"/>
        <v>285.63135000347944</v>
      </c>
      <c r="H25" s="18">
        <f>SUM(C25:G25)</f>
        <v>2755.9614278399995</v>
      </c>
      <c r="I25" s="1"/>
      <c r="K25" s="49"/>
      <c r="L25" s="1"/>
      <c r="M25" s="1"/>
      <c r="N25" s="1"/>
      <c r="O25" s="1"/>
      <c r="P25" s="1"/>
      <c r="AR25"/>
      <c r="AS25"/>
      <c r="AT25"/>
      <c r="AU25"/>
      <c r="AV25"/>
      <c r="AW25"/>
      <c r="AX25"/>
      <c r="AY25"/>
    </row>
    <row r="26" spans="2:52" ht="18.75" customHeight="1">
      <c r="B26" s="58" t="s">
        <v>72</v>
      </c>
      <c r="C26" s="59">
        <f>C23+C24</f>
        <v>754.10446854709789</v>
      </c>
      <c r="D26" s="59">
        <f>D23+D24</f>
        <v>476.07605384022793</v>
      </c>
      <c r="E26" s="59">
        <f t="shared" ref="E26:G26" si="6">E23+E24</f>
        <v>952.15210745828711</v>
      </c>
      <c r="F26" s="59">
        <f t="shared" si="6"/>
        <v>287.99744799090763</v>
      </c>
      <c r="G26" s="59">
        <f t="shared" si="6"/>
        <v>285.63135000347944</v>
      </c>
      <c r="H26" s="59">
        <f>SUM(C26:G26)</f>
        <v>2755.9614278399995</v>
      </c>
      <c r="K26" s="49"/>
    </row>
    <row r="27" spans="2:52">
      <c r="K27" s="49"/>
    </row>
    <row r="28" spans="2:52">
      <c r="B28" s="182" t="s">
        <v>11</v>
      </c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2"/>
      <c r="O28" s="182"/>
      <c r="P28" s="182"/>
    </row>
    <row r="30" spans="2:52">
      <c r="C30" s="52"/>
      <c r="D30" s="52"/>
      <c r="E30" s="52"/>
      <c r="F30" s="52"/>
      <c r="G30" s="52"/>
      <c r="Q30" s="2"/>
      <c r="AZ30" s="1"/>
    </row>
    <row r="31" spans="2:52">
      <c r="B31" s="53" t="s">
        <v>40</v>
      </c>
      <c r="C31" s="54">
        <f>C17*C30</f>
        <v>0</v>
      </c>
      <c r="D31" s="54">
        <f t="shared" ref="D31:G31" si="7">D17*D30</f>
        <v>0</v>
      </c>
      <c r="E31" s="54">
        <f t="shared" si="7"/>
        <v>0</v>
      </c>
      <c r="F31" s="54">
        <f t="shared" si="7"/>
        <v>0</v>
      </c>
      <c r="G31" s="54">
        <f t="shared" si="7"/>
        <v>0</v>
      </c>
      <c r="H31" s="54">
        <f>SUM(C31:G31)</f>
        <v>0</v>
      </c>
      <c r="Q31" s="2"/>
      <c r="AZ31" s="1"/>
    </row>
    <row r="33" spans="1:51">
      <c r="C33" s="11">
        <v>0</v>
      </c>
      <c r="D33" s="11">
        <v>0</v>
      </c>
      <c r="E33" s="11">
        <v>0</v>
      </c>
      <c r="F33" s="11">
        <v>0</v>
      </c>
      <c r="G33" s="11">
        <v>0</v>
      </c>
      <c r="H33" s="9" t="s">
        <v>8</v>
      </c>
      <c r="I33" s="1"/>
      <c r="J33" s="1"/>
      <c r="K33" s="1"/>
      <c r="L33" s="181"/>
      <c r="M33" s="181"/>
      <c r="N33" s="1"/>
      <c r="O33" s="1"/>
      <c r="P33" s="1"/>
      <c r="AR33"/>
      <c r="AS33"/>
      <c r="AT33"/>
      <c r="AU33"/>
      <c r="AV33"/>
      <c r="AW33"/>
      <c r="AX33"/>
      <c r="AY33"/>
    </row>
    <row r="34" spans="1:51">
      <c r="B34" s="9" t="s">
        <v>9</v>
      </c>
      <c r="C34" s="6">
        <f>MAX(C25:C26)*C33</f>
        <v>0</v>
      </c>
      <c r="D34" s="6">
        <f t="shared" ref="D34:G34" si="8">MAX(D25:D26)*D33</f>
        <v>0</v>
      </c>
      <c r="E34" s="6">
        <f t="shared" si="8"/>
        <v>0</v>
      </c>
      <c r="F34" s="6">
        <f t="shared" si="8"/>
        <v>0</v>
      </c>
      <c r="G34" s="6">
        <f t="shared" si="8"/>
        <v>0</v>
      </c>
      <c r="H34" s="10">
        <f>SUM(C34:G34)</f>
        <v>0</v>
      </c>
      <c r="I34" s="1"/>
      <c r="J34" s="1"/>
      <c r="K34" s="1"/>
      <c r="L34" s="181"/>
      <c r="M34" s="181"/>
      <c r="N34" s="1"/>
      <c r="O34" s="1"/>
      <c r="P34" s="1"/>
      <c r="AR34"/>
      <c r="AS34"/>
      <c r="AT34"/>
      <c r="AU34"/>
      <c r="AV34"/>
      <c r="AW34"/>
      <c r="AX34"/>
      <c r="AY34"/>
    </row>
    <row r="35" spans="1:51" s="14" customFormat="1">
      <c r="A35" s="12"/>
      <c r="B35" s="16" t="s">
        <v>13</v>
      </c>
      <c r="C35" s="13">
        <f>((MAX(C25:C26))+C34)*16%</f>
        <v>120.65671496753566</v>
      </c>
      <c r="D35" s="13">
        <f t="shared" ref="D35:G35" si="9">((MAX(D25:D26))+D34)*16%</f>
        <v>76.172168614436472</v>
      </c>
      <c r="E35" s="13">
        <f t="shared" si="9"/>
        <v>152.34433719332594</v>
      </c>
      <c r="F35" s="13">
        <f t="shared" si="9"/>
        <v>46.079591678545221</v>
      </c>
      <c r="G35" s="13">
        <f t="shared" si="9"/>
        <v>45.701016000556713</v>
      </c>
      <c r="H35" s="10">
        <f>SUM(C35:G35)</f>
        <v>440.95382845440002</v>
      </c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</row>
    <row r="36" spans="1:51" s="14" customFormat="1">
      <c r="A36" s="12"/>
      <c r="B36" s="16" t="s">
        <v>14</v>
      </c>
      <c r="C36" s="13">
        <f>((MAX(C25:C26))+C34)*2%</f>
        <v>15.082089370941958</v>
      </c>
      <c r="D36" s="13">
        <f t="shared" ref="D36:G36" si="10">((MAX(D25:D26))+D34)*2%</f>
        <v>9.5215210768045591</v>
      </c>
      <c r="E36" s="15">
        <f t="shared" si="10"/>
        <v>19.043042149165743</v>
      </c>
      <c r="F36" s="15">
        <f t="shared" si="10"/>
        <v>5.7599489598181526</v>
      </c>
      <c r="G36" s="15">
        <f t="shared" si="10"/>
        <v>5.7126270000695891</v>
      </c>
      <c r="H36" s="10">
        <f>SUM(C36:G36)</f>
        <v>55.119228556800003</v>
      </c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</row>
    <row r="37" spans="1:51" s="14" customFormat="1">
      <c r="A37" s="12"/>
      <c r="B37" s="16" t="s">
        <v>10</v>
      </c>
      <c r="C37" s="13">
        <f>((MAX(C25:C26)+C34+C35+C36)*3.5%)</f>
        <v>31.144514550995147</v>
      </c>
      <c r="D37" s="13">
        <f t="shared" ref="D37:G37" si="11">((MAX(D25:D26)+D34+D35+D36)*3.5%)</f>
        <v>19.661941023601415</v>
      </c>
      <c r="E37" s="13">
        <f t="shared" si="11"/>
        <v>39.323882038027264</v>
      </c>
      <c r="F37" s="13">
        <f t="shared" si="11"/>
        <v>11.894294602024486</v>
      </c>
      <c r="G37" s="13">
        <f t="shared" si="11"/>
        <v>11.796574755143702</v>
      </c>
      <c r="H37" s="10">
        <f>SUM(C37:G37)</f>
        <v>113.82120696979203</v>
      </c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</row>
    <row r="38" spans="1:51">
      <c r="B38" s="19" t="s">
        <v>8</v>
      </c>
      <c r="C38" s="20">
        <f t="shared" ref="C38:G38" si="12">SUM(C34:C37)</f>
        <v>166.88331888947278</v>
      </c>
      <c r="D38" s="20">
        <f t="shared" si="12"/>
        <v>105.35563071484245</v>
      </c>
      <c r="E38" s="20">
        <f t="shared" si="12"/>
        <v>210.71126138051892</v>
      </c>
      <c r="F38" s="20">
        <f t="shared" si="12"/>
        <v>63.733835240387862</v>
      </c>
      <c r="G38" s="20">
        <f t="shared" si="12"/>
        <v>63.210217755770003</v>
      </c>
      <c r="H38" s="18">
        <f>SUM(C38:G38)</f>
        <v>609.89426398099204</v>
      </c>
      <c r="I38" s="1"/>
      <c r="J38" s="1"/>
      <c r="K38" s="1"/>
      <c r="L38" s="1"/>
      <c r="M38" s="1"/>
      <c r="N38" s="1"/>
      <c r="O38" s="1"/>
      <c r="P38" s="1"/>
      <c r="AR38"/>
      <c r="AS38"/>
      <c r="AT38"/>
      <c r="AU38"/>
      <c r="AV38"/>
      <c r="AW38"/>
      <c r="AX38"/>
      <c r="AY38"/>
    </row>
    <row r="39" spans="1:51">
      <c r="N39" s="1"/>
      <c r="O39" s="3"/>
      <c r="P39" s="1"/>
      <c r="AW39"/>
      <c r="AX39"/>
      <c r="AY39"/>
    </row>
    <row r="40" spans="1:51">
      <c r="S40" s="24" t="s">
        <v>21</v>
      </c>
      <c r="T40" s="24">
        <v>3.7</v>
      </c>
    </row>
    <row r="42" spans="1:51">
      <c r="B42" s="179" t="s">
        <v>16</v>
      </c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</row>
    <row r="44" spans="1:51">
      <c r="C44" s="21">
        <f>+C20</f>
        <v>0.27362664111671958</v>
      </c>
      <c r="D44" s="21">
        <f t="shared" ref="D44:G44" si="13">+D20</f>
        <v>0.17274409178264699</v>
      </c>
      <c r="E44" s="21">
        <f t="shared" si="13"/>
        <v>0.34548818348468013</v>
      </c>
      <c r="F44" s="21">
        <f t="shared" si="13"/>
        <v>0.10449981087602782</v>
      </c>
      <c r="G44" s="21">
        <f t="shared" si="13"/>
        <v>0.10364127273992531</v>
      </c>
      <c r="H44" s="7" t="s">
        <v>8</v>
      </c>
      <c r="I44" s="1"/>
      <c r="J44" s="1"/>
      <c r="K44" s="1"/>
      <c r="L44" s="1"/>
      <c r="M44" s="1"/>
      <c r="N44" s="1"/>
      <c r="O44" s="1"/>
      <c r="P44" s="1"/>
      <c r="AR44"/>
      <c r="AS44"/>
      <c r="AT44"/>
      <c r="AU44"/>
      <c r="AV44"/>
      <c r="AW44"/>
      <c r="AX44"/>
      <c r="AY44"/>
    </row>
    <row r="45" spans="1:51">
      <c r="B45" s="28" t="s">
        <v>15</v>
      </c>
      <c r="C45" s="23">
        <f>$H$45*C44</f>
        <v>41.043996167507935</v>
      </c>
      <c r="D45" s="23">
        <f>$H$45*D44</f>
        <v>25.91161376739705</v>
      </c>
      <c r="E45" s="23">
        <f>$H$45*E44</f>
        <v>51.82322752270202</v>
      </c>
      <c r="F45" s="23">
        <f>$H$45*F44</f>
        <v>15.674971631404173</v>
      </c>
      <c r="G45" s="23">
        <f>$H$45*G44</f>
        <v>15.546190910988797</v>
      </c>
      <c r="H45" s="29">
        <f>IF(P19=0,IF('1'!E11="NUEVO",'2'!P17*40%,IF('1'!E11="ANTIGUO",'2'!P18*40%,IF('1'!E11="SOCIO",40%*(250*'1'!I11),IF('1'!E11="PILOTO",40%*(250*'1'!I11),IF('2'!P19&gt;0,40%*(250*'1'!I11),IF('1'!E11="MANUAL",40%*(IF('1'!T12&gt;250,('1'!T12*'1'!I11),IF('1'!T12&lt;=250,(250*'1'!I11)))))))))),IF(Q19&lt;=250,(250*'1'!I11)*40%,P19*40%))</f>
        <v>150</v>
      </c>
      <c r="I45" s="87"/>
      <c r="J45" s="1"/>
      <c r="K45" s="1"/>
      <c r="L45" s="1"/>
      <c r="M45" s="1"/>
      <c r="N45" s="1"/>
      <c r="O45" s="1"/>
      <c r="P45" s="1"/>
      <c r="AR45"/>
      <c r="AS45"/>
      <c r="AT45"/>
      <c r="AU45"/>
      <c r="AV45"/>
      <c r="AW45"/>
      <c r="AX45"/>
      <c r="AY45"/>
    </row>
    <row r="46" spans="1:51" s="1" customFormat="1">
      <c r="C46" s="4"/>
      <c r="D46" s="4"/>
      <c r="E46" s="4"/>
      <c r="F46" s="4"/>
      <c r="G46" s="4"/>
      <c r="H46" s="4"/>
      <c r="I46" s="4"/>
      <c r="J46" s="4"/>
      <c r="K46" s="4"/>
    </row>
    <row r="48" spans="1:51">
      <c r="B48" s="104" t="s">
        <v>17</v>
      </c>
      <c r="C48" s="104"/>
      <c r="D48" s="104"/>
      <c r="E48" s="104"/>
      <c r="F48" s="104"/>
      <c r="G48" s="104"/>
      <c r="H48" s="104"/>
      <c r="I48" s="104"/>
      <c r="J48" s="104"/>
      <c r="K48" s="104"/>
      <c r="L48" s="104"/>
      <c r="M48" s="104"/>
      <c r="N48" s="104"/>
      <c r="O48" s="104"/>
      <c r="P48" s="104"/>
    </row>
    <row r="50" spans="2:51">
      <c r="B50" s="27" t="s">
        <v>15</v>
      </c>
      <c r="C50" s="7" t="str">
        <f t="shared" ref="C50" si="14">C11</f>
        <v>TIARAS</v>
      </c>
      <c r="D50" s="7" t="str">
        <f t="shared" ref="D50:G50" si="15">D11</f>
        <v>CORONAS EN PUNTA</v>
      </c>
      <c r="E50" s="7" t="str">
        <f t="shared" si="15"/>
        <v>CORONAS CON PIEDRA</v>
      </c>
      <c r="F50" s="7" t="str">
        <f t="shared" si="15"/>
        <v>PELUCA ONDULADA SINTETICA</v>
      </c>
      <c r="G50" s="7" t="str">
        <f t="shared" si="15"/>
        <v>PELUCA RECTA SINTETICA</v>
      </c>
      <c r="I50" s="1"/>
      <c r="J50" s="1"/>
      <c r="K50" s="1"/>
      <c r="L50" s="1"/>
      <c r="M50" s="1"/>
      <c r="N50" s="1"/>
      <c r="O50" s="1"/>
      <c r="P50" s="1"/>
      <c r="AR50"/>
      <c r="AS50"/>
      <c r="AT50"/>
      <c r="AU50"/>
      <c r="AV50"/>
      <c r="AW50"/>
      <c r="AX50"/>
      <c r="AY50"/>
    </row>
    <row r="51" spans="2:51">
      <c r="B51" s="28" t="s">
        <v>19</v>
      </c>
      <c r="C51" s="23">
        <f>C18+C38+C31+'2'!C20*('1'!$J$31)</f>
        <v>948.35045154824263</v>
      </c>
      <c r="D51" s="23">
        <f>D18+D38+D31+'2'!D20*('1'!$J$31)</f>
        <v>598.70609373333502</v>
      </c>
      <c r="E51" s="23">
        <f>E18+E38+E31+'2'!E20*('1'!$J$31)</f>
        <v>1197.412187187274</v>
      </c>
      <c r="F51" s="23">
        <f>F18+F38+F31+'2'!F20*('1'!$J$31)</f>
        <v>362.18126431889829</v>
      </c>
      <c r="G51" s="23">
        <f>G18+G38+G31+'2'!G20*('1'!$J$31)</f>
        <v>359.20569503324202</v>
      </c>
      <c r="H51" s="23">
        <f>SUM(C51:G51)</f>
        <v>3465.855691820992</v>
      </c>
      <c r="I51" s="1"/>
      <c r="J51" s="1"/>
      <c r="K51" s="1"/>
      <c r="L51" s="1"/>
      <c r="M51" s="1"/>
      <c r="N51" s="1"/>
      <c r="O51" s="1"/>
      <c r="P51" s="1"/>
      <c r="AR51"/>
      <c r="AS51"/>
      <c r="AT51"/>
      <c r="AU51"/>
      <c r="AV51"/>
      <c r="AW51"/>
      <c r="AX51"/>
      <c r="AY51"/>
    </row>
    <row r="52" spans="2:51">
      <c r="B52" s="5" t="s">
        <v>1</v>
      </c>
      <c r="C52" s="25">
        <f>+C17</f>
        <v>1440</v>
      </c>
      <c r="D52" s="25">
        <f t="shared" ref="D52:G52" si="16">+D17</f>
        <v>200</v>
      </c>
      <c r="E52" s="25">
        <f t="shared" si="16"/>
        <v>500</v>
      </c>
      <c r="F52" s="25">
        <f t="shared" si="16"/>
        <v>300</v>
      </c>
      <c r="G52" s="25">
        <f t="shared" si="16"/>
        <v>300</v>
      </c>
      <c r="I52" s="1"/>
      <c r="J52" s="1"/>
      <c r="K52" s="1"/>
      <c r="L52" s="1"/>
      <c r="M52" s="1"/>
      <c r="N52" s="1"/>
      <c r="O52" s="1"/>
      <c r="P52" s="1"/>
      <c r="AR52"/>
      <c r="AS52"/>
      <c r="AT52"/>
      <c r="AU52"/>
      <c r="AV52"/>
      <c r="AW52"/>
      <c r="AX52"/>
      <c r="AY52"/>
    </row>
    <row r="53" spans="2:51">
      <c r="B53" s="22" t="s">
        <v>18</v>
      </c>
      <c r="C53" s="23">
        <f t="shared" ref="C53:G53" si="17">C51/C52</f>
        <v>0.65857670246405742</v>
      </c>
      <c r="D53" s="23">
        <f t="shared" si="17"/>
        <v>2.993530468666675</v>
      </c>
      <c r="E53" s="23">
        <f t="shared" si="17"/>
        <v>2.3948243743745481</v>
      </c>
      <c r="F53" s="23">
        <f t="shared" si="17"/>
        <v>1.2072708810629942</v>
      </c>
      <c r="G53" s="23">
        <f t="shared" si="17"/>
        <v>1.1973523167774733</v>
      </c>
      <c r="I53" s="1"/>
      <c r="J53" s="1"/>
      <c r="K53" s="1"/>
      <c r="L53" s="1"/>
      <c r="M53" s="1"/>
      <c r="N53" s="1"/>
      <c r="O53" s="1"/>
      <c r="P53" s="1"/>
      <c r="AR53"/>
      <c r="AS53"/>
      <c r="AT53"/>
      <c r="AU53"/>
      <c r="AV53"/>
      <c r="AW53"/>
      <c r="AX53"/>
      <c r="AY53"/>
    </row>
    <row r="54" spans="2:51">
      <c r="B54" s="5" t="s">
        <v>20</v>
      </c>
      <c r="C54" s="26">
        <f>C53*$T$40</f>
        <v>2.4367337991170124</v>
      </c>
      <c r="D54" s="26">
        <f>D53*$T$40</f>
        <v>11.076062734066698</v>
      </c>
      <c r="E54" s="26">
        <f>E53*$T$40</f>
        <v>8.8608501851858286</v>
      </c>
      <c r="F54" s="26">
        <f>F53*$T$40</f>
        <v>4.4669022599330788</v>
      </c>
      <c r="G54" s="26">
        <f>G53*$T$40</f>
        <v>4.4302035720766515</v>
      </c>
      <c r="I54" s="1"/>
      <c r="J54" s="1"/>
      <c r="K54" s="1"/>
      <c r="L54" s="1"/>
      <c r="M54" s="1"/>
      <c r="N54" s="1"/>
      <c r="O54" s="1"/>
      <c r="P54" s="1"/>
      <c r="AR54"/>
      <c r="AS54"/>
      <c r="AT54"/>
      <c r="AU54"/>
      <c r="AV54"/>
      <c r="AW54"/>
      <c r="AX54"/>
      <c r="AY54"/>
    </row>
  </sheetData>
  <mergeCells count="15">
    <mergeCell ref="C8:E8"/>
    <mergeCell ref="F8:G8"/>
    <mergeCell ref="B1:P1"/>
    <mergeCell ref="B42:P42"/>
    <mergeCell ref="J21:J22"/>
    <mergeCell ref="L33:M34"/>
    <mergeCell ref="B28:P28"/>
    <mergeCell ref="C4:E4"/>
    <mergeCell ref="F4:G4"/>
    <mergeCell ref="C5:E5"/>
    <mergeCell ref="F5:G5"/>
    <mergeCell ref="C6:E6"/>
    <mergeCell ref="F6:G6"/>
    <mergeCell ref="F3:G3"/>
    <mergeCell ref="C3:E3"/>
  </mergeCells>
  <phoneticPr fontId="19" type="noConversion"/>
  <pageMargins left="0.7" right="0.7" top="0.75" bottom="0.75" header="0.3" footer="0.3"/>
  <pageSetup orientation="portrait" r:id="rId1"/>
  <cellWatches>
    <cellWatch r="H38"/>
  </cellWatches>
  <ignoredErrors>
    <ignoredError sqref="H24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Usuario</cp:lastModifiedBy>
  <cp:lastPrinted>2024-04-16T15:59:00Z</cp:lastPrinted>
  <dcterms:created xsi:type="dcterms:W3CDTF">2022-02-19T20:43:21Z</dcterms:created>
  <dcterms:modified xsi:type="dcterms:W3CDTF">2025-07-21T23:08:49Z</dcterms:modified>
</cp:coreProperties>
</file>