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5AD5FF45-261E-4A1E-B489-36505D6554D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" l="1"/>
  <c r="H17" i="1"/>
  <c r="H31" i="1" s="1"/>
  <c r="F17" i="1"/>
  <c r="F18" i="1" s="1"/>
  <c r="C17" i="1"/>
  <c r="C18" i="1" s="1"/>
  <c r="E17" i="1"/>
  <c r="E31" i="1" s="1"/>
  <c r="D17" i="1"/>
  <c r="D18" i="1" s="1"/>
  <c r="G18" i="1"/>
  <c r="I18" i="1"/>
  <c r="G19" i="1"/>
  <c r="I19" i="1"/>
  <c r="G31" i="1"/>
  <c r="I31" i="1"/>
  <c r="E50" i="1"/>
  <c r="F50" i="1"/>
  <c r="G50" i="1"/>
  <c r="H50" i="1"/>
  <c r="I50" i="1"/>
  <c r="G52" i="1"/>
  <c r="I52" i="1"/>
  <c r="D19" i="1"/>
  <c r="C19" i="1" l="1"/>
  <c r="H19" i="1"/>
  <c r="H18" i="1"/>
  <c r="H52" i="1"/>
  <c r="F19" i="1"/>
  <c r="F52" i="1"/>
  <c r="F31" i="1"/>
  <c r="E52" i="1"/>
  <c r="E18" i="1"/>
  <c r="E19" i="1"/>
  <c r="J4" i="1" l="1"/>
  <c r="J8" i="1"/>
  <c r="I11" i="2" s="1"/>
  <c r="J5" i="1"/>
  <c r="I8" i="2" s="1"/>
  <c r="J6" i="1"/>
  <c r="I9" i="2" s="1"/>
  <c r="T12" i="2" l="1"/>
  <c r="S11" i="2" a="1"/>
  <c r="S11" i="2" s="1"/>
  <c r="R22" i="1"/>
  <c r="E40" i="2"/>
  <c r="E41" i="2"/>
  <c r="E42" i="2"/>
  <c r="E43" i="2"/>
  <c r="J14" i="1"/>
  <c r="C31" i="1"/>
  <c r="E39" i="2"/>
  <c r="B39" i="2"/>
  <c r="N39" i="2" s="1"/>
  <c r="F39" i="2"/>
  <c r="O39" i="2" s="1"/>
  <c r="B40" i="2"/>
  <c r="N40" i="2" s="1"/>
  <c r="F40" i="2"/>
  <c r="O40" i="2" s="1"/>
  <c r="B41" i="2"/>
  <c r="N41" i="2" s="1"/>
  <c r="F41" i="2"/>
  <c r="O41" i="2" s="1"/>
  <c r="B42" i="2"/>
  <c r="N42" i="2" s="1"/>
  <c r="F42" i="2"/>
  <c r="O42" i="2" s="1"/>
  <c r="B43" i="2"/>
  <c r="N43" i="2" s="1"/>
  <c r="F43" i="2"/>
  <c r="O43" i="2" s="1"/>
  <c r="F38" i="2"/>
  <c r="O38" i="2" s="1"/>
  <c r="E9" i="2"/>
  <c r="F37" i="2"/>
  <c r="O37" i="2" s="1"/>
  <c r="B38" i="2"/>
  <c r="N38" i="2" s="1"/>
  <c r="B37" i="2"/>
  <c r="N37" i="2" s="1"/>
  <c r="D31" i="1"/>
  <c r="D50" i="1"/>
  <c r="D52" i="1"/>
  <c r="E38" i="2" s="1"/>
  <c r="J17" i="1"/>
  <c r="J13" i="1"/>
  <c r="J12" i="1"/>
  <c r="S13" i="2" l="1"/>
  <c r="T13" i="2" s="1"/>
  <c r="S10" i="2" a="1"/>
  <c r="S10" i="2" s="1"/>
  <c r="T10" i="2" s="1"/>
  <c r="S14" i="2"/>
  <c r="S16" i="2" l="1"/>
  <c r="S19" i="1" l="1"/>
  <c r="Q18" i="1"/>
  <c r="Q19" i="1"/>
  <c r="Q20" i="1"/>
  <c r="Q21" i="1"/>
  <c r="Q22" i="1"/>
  <c r="Q17" i="1"/>
  <c r="R19" i="1"/>
  <c r="M16" i="1"/>
  <c r="S17" i="1"/>
  <c r="T11" i="2"/>
  <c r="S18" i="1" s="1"/>
  <c r="T16" i="2" l="1"/>
  <c r="T14" i="2"/>
  <c r="S21" i="1" s="1"/>
  <c r="R20" i="1"/>
  <c r="R21" i="1"/>
  <c r="T21" i="1" s="1"/>
  <c r="T19" i="1"/>
  <c r="R18" i="1"/>
  <c r="R17" i="1"/>
  <c r="J21" i="1" s="1"/>
  <c r="I23" i="2"/>
  <c r="I20" i="2"/>
  <c r="C52" i="1"/>
  <c r="E37" i="2" s="1"/>
  <c r="E44" i="2" s="1"/>
  <c r="J18" i="1"/>
  <c r="C50" i="1"/>
  <c r="H20" i="1" l="1"/>
  <c r="H44" i="1" s="1"/>
  <c r="I20" i="1"/>
  <c r="I44" i="1" s="1"/>
  <c r="E20" i="1"/>
  <c r="E44" i="1" s="1"/>
  <c r="F20" i="1"/>
  <c r="F44" i="1" s="1"/>
  <c r="G20" i="1"/>
  <c r="G44" i="1" s="1"/>
  <c r="J45" i="1"/>
  <c r="S20" i="1"/>
  <c r="T17" i="1"/>
  <c r="T18" i="1"/>
  <c r="T20" i="1"/>
  <c r="J31" i="1"/>
  <c r="J23" i="2" s="1"/>
  <c r="J19" i="1"/>
  <c r="H21" i="1" l="1"/>
  <c r="H22" i="1" s="1"/>
  <c r="E21" i="1"/>
  <c r="E23" i="1" s="1"/>
  <c r="I21" i="1"/>
  <c r="F21" i="1"/>
  <c r="G45" i="1"/>
  <c r="E45" i="1"/>
  <c r="F45" i="1"/>
  <c r="H45" i="1"/>
  <c r="I45" i="1"/>
  <c r="G21" i="1"/>
  <c r="J31" i="2"/>
  <c r="N21" i="2" s="1"/>
  <c r="D20" i="1"/>
  <c r="D21" i="1" s="1"/>
  <c r="J24" i="1"/>
  <c r="C20" i="1"/>
  <c r="H23" i="1" l="1"/>
  <c r="E22" i="1"/>
  <c r="E24" i="1"/>
  <c r="E26" i="1" s="1"/>
  <c r="F24" i="1"/>
  <c r="G24" i="1"/>
  <c r="I24" i="1"/>
  <c r="H24" i="1"/>
  <c r="H25" i="1" s="1"/>
  <c r="G22" i="1"/>
  <c r="G23" i="1"/>
  <c r="F22" i="1"/>
  <c r="F23" i="1"/>
  <c r="I22" i="1"/>
  <c r="I23" i="1"/>
  <c r="O47" i="2"/>
  <c r="C44" i="1"/>
  <c r="C21" i="1"/>
  <c r="C23" i="1" s="1"/>
  <c r="J15" i="2"/>
  <c r="D22" i="1"/>
  <c r="D44" i="1"/>
  <c r="D45" i="1" s="1"/>
  <c r="D24" i="1"/>
  <c r="C24" i="1"/>
  <c r="E25" i="1" l="1"/>
  <c r="E34" i="1" s="1"/>
  <c r="E36" i="1" s="1"/>
  <c r="H26" i="1"/>
  <c r="H34" i="1" s="1"/>
  <c r="H35" i="1" s="1"/>
  <c r="F26" i="1"/>
  <c r="I26" i="1"/>
  <c r="I25" i="1"/>
  <c r="F25" i="1"/>
  <c r="G26" i="1"/>
  <c r="G25" i="1"/>
  <c r="C26" i="1"/>
  <c r="C22" i="1"/>
  <c r="D25" i="1"/>
  <c r="D23" i="1"/>
  <c r="D26" i="1" s="1"/>
  <c r="J14" i="2"/>
  <c r="J30" i="2" s="1"/>
  <c r="F34" i="1" l="1"/>
  <c r="F36" i="1" s="1"/>
  <c r="I34" i="1"/>
  <c r="I35" i="1" s="1"/>
  <c r="D34" i="1"/>
  <c r="D35" i="1" s="1"/>
  <c r="G34" i="1"/>
  <c r="G35" i="1" s="1"/>
  <c r="E35" i="1"/>
  <c r="H36" i="1"/>
  <c r="H37" i="1" s="1"/>
  <c r="J16" i="2"/>
  <c r="C45" i="1"/>
  <c r="F35" i="1" l="1"/>
  <c r="F37" i="1" s="1"/>
  <c r="I36" i="1"/>
  <c r="I37" i="1" s="1"/>
  <c r="I38" i="1" s="1"/>
  <c r="I51" i="1" s="1"/>
  <c r="I53" i="1" s="1"/>
  <c r="I54" i="1" s="1"/>
  <c r="G36" i="1"/>
  <c r="G37" i="1" s="1"/>
  <c r="G38" i="1" s="1"/>
  <c r="G51" i="1" s="1"/>
  <c r="G53" i="1" s="1"/>
  <c r="G54" i="1" s="1"/>
  <c r="H38" i="1"/>
  <c r="H51" i="1" s="1"/>
  <c r="H53" i="1" s="1"/>
  <c r="H54" i="1" s="1"/>
  <c r="E37" i="1"/>
  <c r="E38" i="1" s="1"/>
  <c r="E51" i="1" s="1"/>
  <c r="E53" i="1" s="1"/>
  <c r="E54" i="1" s="1"/>
  <c r="D36" i="1"/>
  <c r="D37" i="1" s="1"/>
  <c r="C25" i="1"/>
  <c r="F38" i="1" l="1"/>
  <c r="F51" i="1" s="1"/>
  <c r="F53" i="1" s="1"/>
  <c r="F54" i="1" s="1"/>
  <c r="C34" i="1"/>
  <c r="C35" i="1" s="1"/>
  <c r="D38" i="1"/>
  <c r="D51" i="1" s="1"/>
  <c r="D53" i="1" s="1"/>
  <c r="D54" i="1" s="1"/>
  <c r="H41" i="2"/>
  <c r="J41" i="2" s="1"/>
  <c r="J23" i="1"/>
  <c r="J22" i="1"/>
  <c r="J25" i="1"/>
  <c r="H38" i="2" l="1"/>
  <c r="P38" i="2" s="1"/>
  <c r="Q38" i="2" s="1"/>
  <c r="H39" i="2"/>
  <c r="I39" i="2" s="1"/>
  <c r="H40" i="2"/>
  <c r="P40" i="2" s="1"/>
  <c r="Q40" i="2" s="1"/>
  <c r="C36" i="1"/>
  <c r="C37" i="1" s="1"/>
  <c r="P41" i="2"/>
  <c r="Q41" i="2" s="1"/>
  <c r="H43" i="2"/>
  <c r="J43" i="2" s="1"/>
  <c r="I41" i="2"/>
  <c r="H42" i="2"/>
  <c r="J42" i="2" s="1"/>
  <c r="J26" i="1"/>
  <c r="P39" i="2" l="1"/>
  <c r="Q39" i="2" s="1"/>
  <c r="J39" i="2"/>
  <c r="I38" i="2"/>
  <c r="J38" i="2"/>
  <c r="J40" i="2"/>
  <c r="I40" i="2"/>
  <c r="P42" i="2"/>
  <c r="Q42" i="2" s="1"/>
  <c r="P43" i="2"/>
  <c r="Q43" i="2" s="1"/>
  <c r="I43" i="2"/>
  <c r="I42" i="2"/>
  <c r="J34" i="1"/>
  <c r="J20" i="2" s="1"/>
  <c r="J36" i="1"/>
  <c r="J22" i="2" s="1"/>
  <c r="J35" i="1"/>
  <c r="J21" i="2" s="1"/>
  <c r="C38" i="1" l="1"/>
  <c r="C51" i="1" s="1"/>
  <c r="J24" i="2"/>
  <c r="J37" i="1" l="1"/>
  <c r="J26" i="2" s="1"/>
  <c r="J27" i="2" s="1"/>
  <c r="J38" i="1"/>
  <c r="J32" i="2" l="1"/>
  <c r="O48" i="2" s="1"/>
  <c r="O50" i="2" s="1"/>
  <c r="J51" i="1"/>
  <c r="C53" i="1"/>
  <c r="J33" i="2" l="1"/>
  <c r="C54" i="1"/>
  <c r="H37" i="2"/>
  <c r="J37" i="2" l="1"/>
  <c r="P37" i="2"/>
  <c r="Q37" i="2" s="1"/>
  <c r="I37" i="2"/>
  <c r="I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J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<sst xmlns="http://schemas.openxmlformats.org/spreadsheetml/2006/main" count="198" uniqueCount="147">
  <si>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</si>
  <si>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</si>
  <si>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</si>
  <si>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</si>
  <si>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</si>
  <si>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</si>
  <si>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</si>
  <si>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</si>
  <si>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</si>
  <si>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</si>
  <si>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</si>
  <si>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</si>
  <si>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</si>
  <si>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</si>
  <si>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</si>
  <si>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</si>
  <si>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</si>
  <si>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</si>
  <si>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</si>
  <si>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</si>
  <si>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</si>
  <si>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</si>
  <si>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</si>
  <si>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</si>
  <si>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</si>
  <si>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</si>
  <si>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</si>
  <si>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</si>
  <si>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</si>
  <si>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</si>
  <si>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</si>
  <si>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</si>
  <si>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</si>
  <si>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</si>
  <si>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</si>
  <si>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</si>
  <si>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</si>
  <si>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</si>
  <si>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</si>
  <si>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</si>
  <si>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</si>
  <si>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</si>
  <si>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</si>
  <si>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</si>
  <si>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</si>
  <si>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</si>
  <si>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</si>
  <si>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</si>
  <si>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</si>
  <si>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</si>
  <si>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</si>
  <si>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</si>
  <si>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</si>
  <si>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</si>
  <si>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</si>
  <si>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</si>
  <si>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</si>
  <si>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</si>
  <si>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</si>
  <si>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</si>
  <si>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</si>
  <si>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</si>
  <si>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</si>
  <si>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</si>
  <si>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</si>
  <si>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</si>
  <si>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</si>
  <si>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</si>
  <si>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</si>
  <si>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</si>
  <si>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</si>
  <si>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</si>
  <si>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</si>
  <si>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</si>
  <si>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</si>
  <si>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</si>
  <si>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</si>
  <si>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</si>
  <si>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</si>
  <si>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</si>
  <si>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</si>
  <si>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</si>
  <si>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</si>
  <si>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</si>
  <si>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</si>
  <si>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</si>
  <si>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</si>
  <si>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</si>
  <si>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</si>
  <si>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</si>
  <si>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</si>
  <si>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</si>
  <si>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</si>
  <si>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</si>
  <si>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</si>
  <si>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</si>
  <si>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</si>
  <si>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</si>
  <si>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</si>
  <si>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</si>
  <si>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</si>
  <si>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</si>
  <si>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</si>
  <si>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</si>
  <si>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</si>
  <si>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</si>
  <si>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</si>
  <si>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</si>
  <si>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</si>
  <si>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</si>
  <si>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</si>
  <si>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</si>
  <si>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</si>
  <si>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</si>
  <si>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</si>
  <si>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</si>
  <si>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</si>
  <si>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</si>
  <si>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</si>
  <si>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</si>
  <si>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</si>
  <si>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</si>
  <si>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</si>
  <si>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</si>
  <si>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</si>
  <si>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</si>
  <si>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</si>
  <si>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</si>
  <si>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</si>
  <si>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</si>
  <si>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</si>
  <si>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</si>
  <si>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</si>
  <si>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</si>
  <si>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</si>
  <si>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</si>
  <si>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</si>
  <si>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</si>
  <si>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30/07</t>
  </si>
  <si>
    <t>Pago de Impuestos antes del Arribo 10/09</t>
  </si>
  <si>
    <t>JULIO GARCIA</t>
  </si>
  <si>
    <t>PU Heat Transfer Vinyl</t>
  </si>
  <si>
    <t>Flock Heat Transfer Vinyl</t>
  </si>
  <si>
    <t>Gloss Metallic Heat Transfer Vinyl</t>
  </si>
  <si>
    <t>Vinilo de transferencia de calor metal</t>
  </si>
  <si>
    <t>Reflective Heat Transfer Vinyl</t>
  </si>
  <si>
    <t>JUGA12-1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</si>
</sst>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indexed="64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0" fillId="2" borderId="4" xfId="0" applyNumberFormat="1" applyFill="1" applyBorder="1"/>
    <xf numFmtId="165" fontId="20" fillId="2" borderId="7" xfId="0" applyNumberFormat="1" applyFont="1" applyFill="1" applyBorder="1"/>
    <xf numFmtId="171" fontId="10" fillId="2" borderId="1" xfId="0" applyNumberFormat="1" applyFont="1" applyFill="1" applyBorder="1" applyAlignment="1">
      <alignment horizontal="center"/>
    </xf>
    <xf numFmtId="0" fontId="27" fillId="10" borderId="2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2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</cellXfs>
  <cellStyles count="13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62</xdr:row>
      <xdr:rowOff>147864</xdr:rowOff>
    </xdr:from>
    <xdr:to>
      <xdr:col>1</xdr:col>
      <xdr:colOff>299357</xdr:colOff>
      <xdr:row>64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62</xdr:row>
      <xdr:rowOff>139247</xdr:rowOff>
    </xdr:from>
    <xdr:to>
      <xdr:col>1</xdr:col>
      <xdr:colOff>503464</xdr:colOff>
      <xdr:row>64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79</xdr:row>
      <xdr:rowOff>147864</xdr:rowOff>
    </xdr:from>
    <xdr:to>
      <xdr:col>2</xdr:col>
      <xdr:colOff>161126</xdr:colOff>
      <xdr:row>81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79</xdr:row>
      <xdr:rowOff>139247</xdr:rowOff>
    </xdr:from>
    <xdr:to>
      <xdr:col>2</xdr:col>
      <xdr:colOff>258536</xdr:colOff>
      <xdr:row>81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93</xdr:row>
      <xdr:rowOff>147864</xdr:rowOff>
    </xdr:from>
    <xdr:to>
      <xdr:col>1</xdr:col>
      <xdr:colOff>629124</xdr:colOff>
      <xdr:row>95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93</xdr:row>
      <xdr:rowOff>139248</xdr:rowOff>
    </xdr:from>
    <xdr:to>
      <xdr:col>2</xdr:col>
      <xdr:colOff>462643</xdr:colOff>
      <xdr:row>95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9</xdr:col>
      <xdr:colOff>116574</xdr:colOff>
      <xdr:row>52</xdr:row>
      <xdr:rowOff>57115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55</xdr:row>
      <xdr:rowOff>59531</xdr:rowOff>
    </xdr:from>
    <xdr:to>
      <xdr:col>9</xdr:col>
      <xdr:colOff>218434</xdr:colOff>
      <xdr:row>60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54</xdr:row>
      <xdr:rowOff>174625</xdr:rowOff>
    </xdr:from>
    <xdr:to>
      <xdr:col>3</xdr:col>
      <xdr:colOff>298361</xdr:colOff>
      <xdr:row>60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79078</xdr:rowOff>
    </xdr:from>
    <xdr:to>
      <xdr:col>8</xdr:col>
      <xdr:colOff>845757</xdr:colOff>
      <xdr:row>100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102</xdr:row>
      <xdr:rowOff>166510</xdr:rowOff>
    </xdr:from>
    <xdr:to>
      <xdr:col>5</xdr:col>
      <xdr:colOff>737916</xdr:colOff>
      <xdr:row>117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74083</xdr:colOff>
      <xdr:row>21</xdr:row>
      <xdr:rowOff>95250</xdr:rowOff>
    </xdr:from>
    <xdr:to>
      <xdr:col>15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5"/>
  <sheetViews>
    <sheetView showGridLines="0" topLeftCell="E28" zoomScale="85" zoomScaleNormal="85" zoomScaleSheetLayoutView="80" workbookViewId="0">
      <selection activeCell="V36" sqref="V36"/>
    </sheetView>
  </sheetViews>
  <sheetFormatPr baseColWidth="10" defaultColWidth="10.88671875" defaultRowHeight="14.4"/>
  <cols>
    <col min="1" max="1" width="13.88671875" style="1" customWidth="1"/>
    <col min="2" max="2" width="23.109375" style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9.88671875" style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10.33203125" style="1" customWidth="1"/>
    <col min="13" max="13" width="9" style="1" customWidth="1"/>
    <col min="14" max="14" width="23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52"/>
      <c r="G3" s="152"/>
      <c r="H3" s="152"/>
      <c r="I3" s="152"/>
      <c r="W3" s="5" t="s">
        <v>80</v>
      </c>
    </row>
    <row r="4" spans="1:25">
      <c r="F4" s="153"/>
      <c r="G4" s="153"/>
      <c r="H4" s="153"/>
      <c r="I4" s="153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3" t="s">
        <v>86</v>
      </c>
    </row>
    <row r="7" spans="1:25">
      <c r="D7" s="154" t="s">
        <v>117</v>
      </c>
      <c r="E7" s="154"/>
      <c r="F7" s="154"/>
      <c r="W7" s="5" t="s">
        <v>85</v>
      </c>
    </row>
    <row r="8" spans="1:25">
      <c r="A8" s="33" t="s">
        <v>79</v>
      </c>
      <c r="B8" s="47" t="s">
        <v>140</v>
      </c>
      <c r="D8" s="67" t="s">
        <v>24</v>
      </c>
      <c r="E8" s="68" t="s">
        <v>25</v>
      </c>
      <c r="F8" s="69"/>
      <c r="G8" s="31"/>
      <c r="H8" s="1" t="s">
        <v>30</v>
      </c>
      <c r="I8" s="160">
        <f>+'2'!J5</f>
        <v>70</v>
      </c>
      <c r="J8" s="160"/>
      <c r="K8" s="160"/>
      <c r="T8" s="89"/>
      <c r="W8" s="5" t="s">
        <v>89</v>
      </c>
    </row>
    <row r="9" spans="1:25">
      <c r="A9" s="33" t="s">
        <v>116</v>
      </c>
      <c r="B9" s="47"/>
      <c r="D9" s="70" t="s">
        <v>103</v>
      </c>
      <c r="E9" s="128">
        <f ca="1">+TODAY()</f>
        <v>45918</v>
      </c>
      <c r="F9" s="129"/>
      <c r="G9" s="31"/>
      <c r="H9" s="1" t="s">
        <v>29</v>
      </c>
      <c r="I9" s="161">
        <f>+'2'!J6</f>
        <v>430</v>
      </c>
      <c r="J9" s="161"/>
      <c r="K9" s="161"/>
      <c r="R9" s="3"/>
      <c r="S9" s="121" t="s">
        <v>88</v>
      </c>
      <c r="T9" s="6" t="s">
        <v>54</v>
      </c>
    </row>
    <row r="10" spans="1:25">
      <c r="A10" s="33" t="s">
        <v>115</v>
      </c>
      <c r="B10" s="47"/>
      <c r="D10" s="79" t="s">
        <v>26</v>
      </c>
      <c r="E10" s="1" t="s">
        <v>27</v>
      </c>
      <c r="F10" s="78"/>
      <c r="G10" s="31"/>
      <c r="H10" s="1" t="s">
        <v>73</v>
      </c>
      <c r="I10" s="92">
        <v>0</v>
      </c>
      <c r="J10" s="92">
        <v>0</v>
      </c>
      <c r="K10" s="92">
        <v>0</v>
      </c>
      <c r="R10" s="82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375</v>
      </c>
      <c r="T10" s="86">
        <f>IF($I$11&lt;1,S10,S10/$I$11)</f>
        <v>375</v>
      </c>
      <c r="U10" s="49"/>
      <c r="V10" s="82"/>
      <c r="W10" s="82" t="s">
        <v>82</v>
      </c>
      <c r="X10" s="82" t="s">
        <v>81</v>
      </c>
      <c r="Y10" s="82" t="s">
        <v>86</v>
      </c>
    </row>
    <row r="11" spans="1:25">
      <c r="A11" s="33" t="s">
        <v>23</v>
      </c>
      <c r="B11" s="55">
        <v>51947647375</v>
      </c>
      <c r="D11" s="71" t="s">
        <v>22</v>
      </c>
      <c r="E11" s="38" t="s">
        <v>89</v>
      </c>
      <c r="F11" s="72"/>
      <c r="H11" s="1" t="s">
        <v>28</v>
      </c>
      <c r="I11" s="155">
        <f>+'2'!J8</f>
        <v>1</v>
      </c>
      <c r="J11" s="155"/>
      <c r="K11" s="155"/>
      <c r="L11" s="62"/>
      <c r="R11" s="82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350</v>
      </c>
      <c r="T11" s="86">
        <f>IF($I$11&lt;1,S11,S11/$I$11)</f>
        <v>350</v>
      </c>
      <c r="U11" s="3"/>
      <c r="V11" s="82" t="s">
        <v>104</v>
      </c>
      <c r="W11" s="82">
        <v>280</v>
      </c>
      <c r="X11" s="82">
        <v>260</v>
      </c>
      <c r="Y11" s="127">
        <v>250</v>
      </c>
    </row>
    <row r="12" spans="1:25">
      <c r="R12" s="82" t="s">
        <v>89</v>
      </c>
      <c r="S12" s="120">
        <f>375+10</f>
        <v>385</v>
      </c>
      <c r="T12" s="86">
        <f>IF($I$11&lt;1,S12,S12/$I$11)</f>
        <v>385</v>
      </c>
      <c r="U12" s="3"/>
      <c r="V12" s="82" t="s">
        <v>105</v>
      </c>
      <c r="W12" s="82">
        <v>375</v>
      </c>
      <c r="X12" s="82">
        <v>350</v>
      </c>
      <c r="Y12" s="127"/>
    </row>
    <row r="13" spans="1:25">
      <c r="A13" s="157" t="s">
        <v>31</v>
      </c>
      <c r="B13" s="157"/>
      <c r="C13" s="157"/>
      <c r="D13" s="157"/>
      <c r="E13" s="157"/>
      <c r="F13" s="60"/>
      <c r="G13" s="60"/>
      <c r="H13" s="63"/>
      <c r="I13" s="63"/>
      <c r="J13" s="36" t="s">
        <v>34</v>
      </c>
      <c r="K13" s="36" t="s">
        <v>33</v>
      </c>
      <c r="R13" s="82" t="s">
        <v>86</v>
      </c>
      <c r="S13" s="50">
        <f>IF('1'!$I$11&lt;1,250,IF('1'!$I$11&lt;4,250*'1'!$I$11,IF('1'!$I$11&lt;=10,250*'1'!$I$11,IF('1'!$I$11&gt;10,250*'1'!$I$11,"VERIFICA EL CBM"))))</f>
        <v>250</v>
      </c>
      <c r="T13" s="86">
        <f>IF($I$11&lt;1,S13,S13/$I$11)</f>
        <v>250</v>
      </c>
      <c r="U13" s="88"/>
      <c r="V13" s="106" t="s">
        <v>106</v>
      </c>
      <c r="W13" s="106">
        <v>375</v>
      </c>
      <c r="X13" s="82">
        <v>350</v>
      </c>
      <c r="Y13" s="127"/>
    </row>
    <row r="14" spans="1:25">
      <c r="A14" s="142" t="s">
        <v>36</v>
      </c>
      <c r="B14" s="142"/>
      <c r="C14" s="142"/>
      <c r="D14" s="31"/>
      <c r="E14" s="31"/>
      <c r="F14" s="31"/>
      <c r="G14" s="31"/>
      <c r="J14" s="45">
        <f>'2'!J18</f>
        <v>3930</v>
      </c>
      <c r="K14" s="34" t="s">
        <v>35</v>
      </c>
      <c r="R14" s="82" t="s">
        <v>85</v>
      </c>
      <c r="S14" s="50">
        <f>IF('1'!$I$11&lt;1,250,250*'1'!$I$11)</f>
        <v>250</v>
      </c>
      <c r="T14" s="86">
        <f>IF($I$11&lt;1,S14,S14/$I$11)</f>
        <v>250</v>
      </c>
      <c r="V14" s="106" t="s">
        <v>107</v>
      </c>
      <c r="W14" s="106">
        <v>350</v>
      </c>
      <c r="X14" s="82">
        <v>325</v>
      </c>
      <c r="Y14" s="127"/>
    </row>
    <row r="15" spans="1:25">
      <c r="A15" s="141" t="s">
        <v>32</v>
      </c>
      <c r="B15" s="141"/>
      <c r="C15" s="141"/>
      <c r="D15" s="38"/>
      <c r="E15" s="38"/>
      <c r="F15" s="38"/>
      <c r="G15" s="38"/>
      <c r="H15" s="38"/>
      <c r="I15" s="38"/>
      <c r="J15" s="46">
        <f>IF(I11&lt;1,'2'!J21+'2'!J24,60%*(T16*I11)+'2'!J24)</f>
        <v>281</v>
      </c>
      <c r="K15" s="39" t="s">
        <v>35</v>
      </c>
      <c r="V15" s="82" t="s">
        <v>108</v>
      </c>
      <c r="W15" s="82">
        <v>325</v>
      </c>
      <c r="X15" s="82">
        <v>300</v>
      </c>
      <c r="Y15" s="127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4211</v>
      </c>
      <c r="K16" s="34" t="s">
        <v>35</v>
      </c>
      <c r="O16" s="49"/>
      <c r="R16" s="82" t="s">
        <v>91</v>
      </c>
      <c r="S16" s="82" t="str">
        <f>E11</f>
        <v>MANUAL</v>
      </c>
      <c r="T16" s="82">
        <f>VLOOKUP(S16,R10:T14,3,0)</f>
        <v>385</v>
      </c>
      <c r="V16" s="82" t="s">
        <v>109</v>
      </c>
      <c r="W16" s="82">
        <v>300</v>
      </c>
      <c r="X16" s="82">
        <v>280</v>
      </c>
      <c r="Y16" s="127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57" t="s">
        <v>101</v>
      </c>
      <c r="B19" s="157"/>
      <c r="C19" s="157"/>
      <c r="D19" s="157"/>
      <c r="E19" s="157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MAX('2'!C33:I33)</f>
        <v>0</v>
      </c>
      <c r="J20" s="45">
        <f>'2'!J34</f>
        <v>0</v>
      </c>
      <c r="K20" s="34" t="s">
        <v>35</v>
      </c>
      <c r="N20" s="114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'2'!J35</f>
        <v>673.76</v>
      </c>
      <c r="K21" s="34" t="s">
        <v>35</v>
      </c>
      <c r="N21" s="115">
        <f>J31/I11</f>
        <v>385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'2'!J36</f>
        <v>84.22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1">
        <f>MAX('2'!C30:I30)</f>
        <v>0</v>
      </c>
      <c r="J23" s="46">
        <f>'2'!J31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757.98</v>
      </c>
      <c r="K24" s="34" t="s">
        <v>35</v>
      </c>
      <c r="L24" s="80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'2'!J37</f>
        <v>173.91430000000003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931.89430000000004</v>
      </c>
      <c r="K27" s="34" t="s">
        <v>35</v>
      </c>
    </row>
    <row r="29" spans="1:15" ht="15.6">
      <c r="A29" s="156" t="s">
        <v>98</v>
      </c>
      <c r="B29" s="156"/>
      <c r="C29" s="156"/>
      <c r="D29" s="156"/>
      <c r="E29" s="156"/>
      <c r="F29" s="90"/>
      <c r="G29" s="90"/>
      <c r="H29" s="91"/>
      <c r="I29" s="91"/>
      <c r="J29" s="91" t="s">
        <v>34</v>
      </c>
      <c r="K29" s="91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3930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385</v>
      </c>
      <c r="K31" s="34" t="s">
        <v>35</v>
      </c>
      <c r="L31" s="126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931.89430000000004</v>
      </c>
      <c r="K32" s="39" t="s">
        <v>35</v>
      </c>
      <c r="N32" s="2"/>
    </row>
    <row r="33" spans="1:17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5246.8942999999999</v>
      </c>
      <c r="K33" s="34" t="s">
        <v>35</v>
      </c>
      <c r="M33" s="158" t="s">
        <v>122</v>
      </c>
      <c r="N33" s="158"/>
      <c r="O33" s="158"/>
      <c r="P33" s="158"/>
      <c r="Q33" s="158"/>
    </row>
    <row r="34" spans="1:17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9"/>
      <c r="N34" s="159"/>
      <c r="O34" s="159"/>
      <c r="P34" s="159"/>
      <c r="Q34" s="159"/>
    </row>
    <row r="35" spans="1:17" ht="15" customHeight="1">
      <c r="A35" s="143" t="s">
        <v>102</v>
      </c>
      <c r="B35" s="144"/>
      <c r="C35" s="144"/>
      <c r="D35" s="144"/>
      <c r="E35" s="144"/>
      <c r="F35" s="144"/>
      <c r="G35" s="144"/>
      <c r="H35" s="144"/>
      <c r="I35" s="144"/>
      <c r="J35" s="144"/>
      <c r="K35" s="145"/>
      <c r="M35" s="166" t="s">
        <v>46</v>
      </c>
      <c r="N35" s="138" t="s">
        <v>77</v>
      </c>
      <c r="O35" s="162" t="s">
        <v>118</v>
      </c>
      <c r="P35" s="164" t="s">
        <v>119</v>
      </c>
      <c r="Q35" s="136" t="s">
        <v>120</v>
      </c>
    </row>
    <row r="36" spans="1:17" ht="17.25" customHeight="1">
      <c r="A36" s="61" t="s">
        <v>46</v>
      </c>
      <c r="B36" s="130" t="s">
        <v>77</v>
      </c>
      <c r="C36" s="131"/>
      <c r="D36" s="132"/>
      <c r="E36" s="7" t="s">
        <v>1</v>
      </c>
      <c r="F36" s="130" t="s">
        <v>78</v>
      </c>
      <c r="G36" s="132"/>
      <c r="H36" s="5" t="s">
        <v>75</v>
      </c>
      <c r="I36" s="74" t="s">
        <v>8</v>
      </c>
      <c r="J36" s="135" t="s">
        <v>76</v>
      </c>
      <c r="K36" s="135"/>
      <c r="M36" s="167"/>
      <c r="N36" s="139"/>
      <c r="O36" s="163"/>
      <c r="P36" s="165"/>
      <c r="Q36" s="137"/>
    </row>
    <row r="37" spans="1:17">
      <c r="A37" s="61">
        <v>1</v>
      </c>
      <c r="B37" s="130" t="str">
        <f>+'2'!$C$11</f>
        <v>PU Heat Transfer Vinyl</v>
      </c>
      <c r="C37" s="131"/>
      <c r="D37" s="132"/>
      <c r="E37" s="7">
        <f>+'2'!$C$52</f>
        <v>17</v>
      </c>
      <c r="F37" s="133">
        <f>+'2'!$C$15</f>
        <v>41.5</v>
      </c>
      <c r="G37" s="134"/>
      <c r="H37" s="75">
        <f>+'2'!$C$53</f>
        <v>55.406135737913488</v>
      </c>
      <c r="I37" s="75">
        <f t="shared" ref="I37:I43" si="0">+E37*H37</f>
        <v>941.90430754452927</v>
      </c>
      <c r="J37" s="135">
        <f>H37*3.8</f>
        <v>210.54331580407126</v>
      </c>
      <c r="K37" s="135"/>
      <c r="M37" s="61">
        <v>1</v>
      </c>
      <c r="N37" s="105" t="str">
        <f>+B37</f>
        <v>PU Heat Transfer Vinyl</v>
      </c>
      <c r="O37" s="107">
        <f>+F37</f>
        <v>41.5</v>
      </c>
      <c r="P37" s="75">
        <f>+H37</f>
        <v>55.406135737913488</v>
      </c>
      <c r="Q37" s="109">
        <f>P37*3.8</f>
        <v>210.54331580407126</v>
      </c>
    </row>
    <row r="38" spans="1:17">
      <c r="A38" s="61">
        <v>2</v>
      </c>
      <c r="B38" s="130" t="str">
        <f>+'2'!$D$11</f>
        <v>PU Heat Transfer Vinyl</v>
      </c>
      <c r="C38" s="131"/>
      <c r="D38" s="132"/>
      <c r="E38" s="7">
        <f>+'2'!$D$52</f>
        <v>9</v>
      </c>
      <c r="F38" s="133">
        <f>+'2'!$D$15</f>
        <v>36.5</v>
      </c>
      <c r="G38" s="134"/>
      <c r="H38" s="75">
        <f>+'2'!$D$53</f>
        <v>48.730697697201016</v>
      </c>
      <c r="I38" s="75">
        <f t="shared" si="0"/>
        <v>438.57627927480917</v>
      </c>
      <c r="J38" s="135">
        <f t="shared" ref="J38:J40" si="1">H38*3.8</f>
        <v>185.17665124936386</v>
      </c>
      <c r="K38" s="135"/>
      <c r="M38" s="61">
        <v>2</v>
      </c>
      <c r="N38" s="105" t="str">
        <f t="shared" ref="N38:N43" si="2">+B38</f>
        <v>PU Heat Transfer Vinyl</v>
      </c>
      <c r="O38" s="107">
        <f t="shared" ref="O38:O42" si="3">+F38</f>
        <v>36.5</v>
      </c>
      <c r="P38" s="75">
        <f t="shared" ref="P38:P43" si="4">+H38</f>
        <v>48.730697697201016</v>
      </c>
      <c r="Q38" s="109">
        <f t="shared" ref="Q38:Q43" si="5">P38*3.8</f>
        <v>185.17665124936386</v>
      </c>
    </row>
    <row r="39" spans="1:17">
      <c r="A39" s="61">
        <v>3</v>
      </c>
      <c r="B39" s="130" t="str">
        <f>+'2'!$E$11</f>
        <v>PU Heat Transfer Vinyl</v>
      </c>
      <c r="C39" s="131"/>
      <c r="D39" s="132"/>
      <c r="E39" s="7">
        <f>+'2'!$E$52</f>
        <v>9</v>
      </c>
      <c r="F39" s="133">
        <f>+'2'!$E$15</f>
        <v>46.5</v>
      </c>
      <c r="G39" s="134"/>
      <c r="H39" s="75">
        <f>+'2'!$E$53</f>
        <v>62.081573778625952</v>
      </c>
      <c r="I39" s="75">
        <f t="shared" si="0"/>
        <v>558.73416400763358</v>
      </c>
      <c r="J39" s="135">
        <f t="shared" si="1"/>
        <v>235.9099803587786</v>
      </c>
      <c r="K39" s="135"/>
      <c r="M39" s="61">
        <v>3</v>
      </c>
      <c r="N39" s="105" t="str">
        <f t="shared" si="2"/>
        <v>PU Heat Transfer Vinyl</v>
      </c>
      <c r="O39" s="107">
        <f t="shared" si="3"/>
        <v>46.5</v>
      </c>
      <c r="P39" s="75">
        <f t="shared" si="4"/>
        <v>62.081573778625952</v>
      </c>
      <c r="Q39" s="109">
        <f t="shared" si="5"/>
        <v>235.9099803587786</v>
      </c>
    </row>
    <row r="40" spans="1:17">
      <c r="A40" s="61">
        <v>4</v>
      </c>
      <c r="B40" s="130" t="str">
        <f>+'2'!$F$11</f>
        <v>Flock Heat Transfer Vinyl</v>
      </c>
      <c r="C40" s="131"/>
      <c r="D40" s="132"/>
      <c r="E40" s="7">
        <f>+'2'!$F$52</f>
        <v>12</v>
      </c>
      <c r="F40" s="133">
        <f>+'2'!$F$15</f>
        <v>81.5</v>
      </c>
      <c r="G40" s="134"/>
      <c r="H40" s="75">
        <f>+'2'!$F$53</f>
        <v>108.80964006361323</v>
      </c>
      <c r="I40" s="75">
        <f t="shared" si="0"/>
        <v>1305.7156807633587</v>
      </c>
      <c r="J40" s="135">
        <f t="shared" si="1"/>
        <v>413.47663224173027</v>
      </c>
      <c r="K40" s="135"/>
      <c r="M40" s="61">
        <v>4</v>
      </c>
      <c r="N40" s="105" t="str">
        <f t="shared" si="2"/>
        <v>Flock Heat Transfer Vinyl</v>
      </c>
      <c r="O40" s="107">
        <f t="shared" si="3"/>
        <v>81.5</v>
      </c>
      <c r="P40" s="75">
        <f t="shared" si="4"/>
        <v>108.80964006361323</v>
      </c>
      <c r="Q40" s="109">
        <f t="shared" si="5"/>
        <v>413.47663224173027</v>
      </c>
    </row>
    <row r="41" spans="1:17">
      <c r="A41" s="61">
        <v>5</v>
      </c>
      <c r="B41" s="130" t="str">
        <f>+'2'!$G$11</f>
        <v>Gloss Metallic Heat Transfer Vinyl</v>
      </c>
      <c r="C41" s="131"/>
      <c r="D41" s="132"/>
      <c r="E41" s="7">
        <f>+'2'!$G$52</f>
        <v>9</v>
      </c>
      <c r="F41" s="133">
        <f>+'2'!$G$15</f>
        <v>46.5</v>
      </c>
      <c r="G41" s="134"/>
      <c r="H41" s="75">
        <f>+'2'!$G$53</f>
        <v>62.081573778625952</v>
      </c>
      <c r="I41" s="75">
        <f t="shared" si="0"/>
        <v>558.73416400763358</v>
      </c>
      <c r="J41" s="135">
        <f t="shared" ref="J41" si="6">H41*3.8</f>
        <v>235.9099803587786</v>
      </c>
      <c r="K41" s="135"/>
      <c r="M41" s="61">
        <v>5</v>
      </c>
      <c r="N41" s="105" t="str">
        <f t="shared" si="2"/>
        <v>Gloss Metallic Heat Transfer Vinyl</v>
      </c>
      <c r="O41" s="107">
        <f t="shared" si="3"/>
        <v>46.5</v>
      </c>
      <c r="P41" s="75">
        <f t="shared" si="4"/>
        <v>62.081573778625952</v>
      </c>
      <c r="Q41" s="109">
        <f t="shared" si="5"/>
        <v>235.9099803587786</v>
      </c>
    </row>
    <row r="42" spans="1:17">
      <c r="A42" s="61">
        <v>6</v>
      </c>
      <c r="B42" s="130" t="str">
        <f>+'2'!$H$11</f>
        <v>Vinilo de transferencia de calor metal</v>
      </c>
      <c r="C42" s="131"/>
      <c r="D42" s="132"/>
      <c r="E42" s="7">
        <f>+'2'!$H$52</f>
        <v>4</v>
      </c>
      <c r="F42" s="133">
        <f>+'2'!$H$15</f>
        <v>66.5</v>
      </c>
      <c r="G42" s="134"/>
      <c r="H42" s="48">
        <f>+'2'!$H$53</f>
        <v>88.783325941475823</v>
      </c>
      <c r="I42" s="122">
        <f t="shared" si="0"/>
        <v>355.13330376590329</v>
      </c>
      <c r="J42" s="135">
        <f t="shared" ref="J42" si="7">H42*3.8</f>
        <v>337.37663857760811</v>
      </c>
      <c r="K42" s="135"/>
      <c r="M42" s="61">
        <v>6</v>
      </c>
      <c r="N42" s="105" t="str">
        <f t="shared" si="2"/>
        <v>Vinilo de transferencia de calor metal</v>
      </c>
      <c r="O42" s="107">
        <f t="shared" si="3"/>
        <v>66.5</v>
      </c>
      <c r="P42" s="75">
        <f t="shared" si="4"/>
        <v>88.783325941475823</v>
      </c>
      <c r="Q42" s="109">
        <f t="shared" si="5"/>
        <v>337.37663857760811</v>
      </c>
    </row>
    <row r="43" spans="1:17">
      <c r="A43" s="61">
        <v>7</v>
      </c>
      <c r="B43" s="130" t="str">
        <f>+'2'!$I$11</f>
        <v>Reflective Heat Transfer Vinyl</v>
      </c>
      <c r="C43" s="131"/>
      <c r="D43" s="132"/>
      <c r="E43" s="7">
        <f>+'2'!$I$52</f>
        <v>10</v>
      </c>
      <c r="F43" s="133">
        <f>+'2'!$I$15</f>
        <v>81.5</v>
      </c>
      <c r="G43" s="134"/>
      <c r="H43" s="48">
        <f>+'2'!$I$53</f>
        <v>108.80964006361323</v>
      </c>
      <c r="I43" s="122">
        <f t="shared" si="0"/>
        <v>1088.0964006361323</v>
      </c>
      <c r="J43" s="135">
        <f t="shared" ref="J43" si="8">H43*3.8</f>
        <v>413.47663224173027</v>
      </c>
      <c r="K43" s="135"/>
      <c r="M43" s="61">
        <v>7</v>
      </c>
      <c r="N43" s="105" t="str">
        <f t="shared" si="2"/>
        <v>Reflective Heat Transfer Vinyl</v>
      </c>
      <c r="O43" s="107">
        <f>+F43</f>
        <v>81.5</v>
      </c>
      <c r="P43" s="75">
        <f t="shared" si="4"/>
        <v>108.80964006361323</v>
      </c>
      <c r="Q43" s="109">
        <f t="shared" si="5"/>
        <v>413.47663224173027</v>
      </c>
    </row>
    <row r="44" spans="1:17" ht="15.6">
      <c r="A44" s="66" t="s">
        <v>8</v>
      </c>
      <c r="B44" s="2"/>
      <c r="C44" s="2"/>
      <c r="D44" s="2"/>
      <c r="E44" s="43">
        <f>+SUM(E37:E43)</f>
        <v>70</v>
      </c>
      <c r="F44" s="2"/>
      <c r="G44" s="2"/>
      <c r="I44" s="123">
        <f>+SUM(I37:I43)</f>
        <v>5246.8942999999999</v>
      </c>
      <c r="J44" s="76"/>
      <c r="K44" s="77"/>
      <c r="L44" s="2"/>
    </row>
    <row r="45" spans="1:17" ht="15.75" customHeight="1">
      <c r="A45" s="66"/>
      <c r="B45" s="2"/>
      <c r="C45" s="2"/>
      <c r="D45" s="2"/>
      <c r="E45" s="43"/>
      <c r="F45" s="2"/>
      <c r="G45" s="2"/>
      <c r="I45" s="95"/>
      <c r="J45" s="76"/>
      <c r="K45" s="77"/>
      <c r="M45" s="151" t="s">
        <v>121</v>
      </c>
      <c r="N45" s="151"/>
      <c r="O45" s="151"/>
      <c r="P45" s="170" t="s">
        <v>127</v>
      </c>
      <c r="Q45" s="171"/>
    </row>
    <row r="46" spans="1:17" ht="18.75" customHeight="1">
      <c r="A46" s="93" t="s">
        <v>53</v>
      </c>
      <c r="B46" s="31"/>
      <c r="C46" s="31"/>
      <c r="D46" s="31"/>
      <c r="E46" s="31"/>
      <c r="F46" s="31"/>
      <c r="G46" s="31"/>
      <c r="H46" s="31"/>
      <c r="I46" s="31"/>
      <c r="J46" s="31"/>
      <c r="M46" s="151"/>
      <c r="N46" s="151"/>
      <c r="O46" s="151"/>
      <c r="P46" s="172"/>
      <c r="Q46" s="173"/>
    </row>
    <row r="47" spans="1:17" ht="21">
      <c r="A47" s="94" t="s">
        <v>92</v>
      </c>
      <c r="B47" s="31"/>
      <c r="C47" s="31"/>
      <c r="D47" s="31"/>
      <c r="E47" s="31"/>
      <c r="F47" s="31"/>
      <c r="G47" s="31"/>
      <c r="H47" s="31"/>
      <c r="I47" s="31"/>
      <c r="J47" s="31"/>
      <c r="M47" s="168" t="s">
        <v>123</v>
      </c>
      <c r="N47" s="169"/>
      <c r="O47" s="110">
        <f>+J31</f>
        <v>385</v>
      </c>
      <c r="P47" s="108" t="s">
        <v>138</v>
      </c>
    </row>
    <row r="48" spans="1:17" ht="21">
      <c r="A48" s="94" t="s">
        <v>93</v>
      </c>
      <c r="B48" s="31"/>
      <c r="C48" s="31"/>
      <c r="D48" s="31"/>
      <c r="E48" s="31"/>
      <c r="F48" s="31"/>
      <c r="G48" s="31"/>
      <c r="H48" s="31"/>
      <c r="I48" s="31"/>
      <c r="J48" s="31"/>
      <c r="M48" s="168" t="s">
        <v>124</v>
      </c>
      <c r="N48" s="169"/>
      <c r="O48" s="110">
        <f>+J32</f>
        <v>931.89430000000004</v>
      </c>
      <c r="P48" s="108" t="s">
        <v>139</v>
      </c>
    </row>
    <row r="49" spans="1:19" ht="18">
      <c r="A49" s="94" t="s">
        <v>111</v>
      </c>
      <c r="B49" s="31"/>
      <c r="C49" s="31"/>
      <c r="D49" s="31"/>
      <c r="E49" s="31"/>
      <c r="F49" s="31"/>
      <c r="G49" s="31"/>
      <c r="H49" s="31"/>
      <c r="I49" s="31"/>
      <c r="J49" s="31"/>
    </row>
    <row r="50" spans="1:19" ht="18">
      <c r="A50" s="94" t="s">
        <v>94</v>
      </c>
      <c r="B50" s="31"/>
      <c r="C50" s="31"/>
      <c r="D50" s="31"/>
      <c r="E50" s="31"/>
      <c r="F50" s="31"/>
      <c r="G50" s="31"/>
      <c r="H50" s="31"/>
      <c r="I50" s="31"/>
      <c r="J50" s="31"/>
      <c r="M50" s="146" t="s">
        <v>126</v>
      </c>
      <c r="N50" s="146"/>
      <c r="O50" s="147">
        <f>+O47+O48+J14</f>
        <v>5246.8942999999999</v>
      </c>
      <c r="P50" s="149" t="s">
        <v>125</v>
      </c>
      <c r="Q50" s="150"/>
      <c r="S50" s="152"/>
    </row>
    <row r="51" spans="1:19" ht="18.75" customHeight="1">
      <c r="A51" s="94" t="s">
        <v>112</v>
      </c>
      <c r="B51" s="31"/>
      <c r="C51" s="31"/>
      <c r="D51" s="31"/>
      <c r="E51" s="31"/>
      <c r="F51" s="31"/>
      <c r="G51" s="31"/>
      <c r="H51" s="31"/>
      <c r="I51" s="31"/>
      <c r="J51" s="31"/>
      <c r="M51" s="146"/>
      <c r="N51" s="146"/>
      <c r="O51" s="148"/>
      <c r="P51" s="149"/>
      <c r="Q51" s="150"/>
      <c r="S51" s="152"/>
    </row>
    <row r="52" spans="1:19" ht="18.75" customHeight="1">
      <c r="A52" s="94" t="s">
        <v>113</v>
      </c>
      <c r="B52" s="31"/>
      <c r="C52" s="31"/>
      <c r="D52" s="31"/>
      <c r="E52" s="31"/>
      <c r="F52" s="31"/>
      <c r="G52" s="31"/>
      <c r="H52" s="31"/>
      <c r="I52" s="31"/>
      <c r="J52" s="31"/>
      <c r="S52" s="152"/>
    </row>
    <row r="53" spans="1:19" ht="18">
      <c r="A53" s="94" t="s">
        <v>114</v>
      </c>
      <c r="B53" s="31"/>
      <c r="C53" s="31"/>
      <c r="D53" s="31"/>
      <c r="E53" s="31"/>
      <c r="F53" s="31"/>
      <c r="G53" s="31"/>
      <c r="H53" s="31"/>
      <c r="I53" s="31"/>
      <c r="J53" s="31"/>
      <c r="S53" s="152"/>
    </row>
    <row r="54" spans="1:19" ht="18">
      <c r="A54" s="94" t="s">
        <v>110</v>
      </c>
      <c r="B54" s="31"/>
      <c r="C54" s="31"/>
      <c r="D54" s="31"/>
      <c r="E54" s="31"/>
      <c r="F54" s="31"/>
      <c r="G54" s="31"/>
      <c r="H54" s="31"/>
      <c r="I54" s="31"/>
      <c r="J54" s="31"/>
      <c r="S54" s="152"/>
    </row>
    <row r="55" spans="1:19">
      <c r="A55" s="31"/>
      <c r="B55" s="31"/>
      <c r="C55" s="31"/>
      <c r="D55" s="31"/>
      <c r="E55" s="31"/>
      <c r="F55" s="31"/>
      <c r="G55" s="31"/>
      <c r="H55" s="31"/>
      <c r="I55" s="31"/>
      <c r="J55" s="31"/>
      <c r="S55" s="152"/>
    </row>
    <row r="57" spans="1:19" ht="18">
      <c r="H57" s="32"/>
      <c r="I57" s="32"/>
      <c r="J57" s="32"/>
      <c r="K57" s="31"/>
    </row>
    <row r="58" spans="1:19" ht="18">
      <c r="H58" s="32"/>
      <c r="I58" s="32"/>
      <c r="J58" s="32"/>
      <c r="K58" s="31"/>
    </row>
    <row r="60" spans="1:19">
      <c r="H60" s="40"/>
      <c r="I60" s="40"/>
      <c r="J60" s="40"/>
    </row>
    <row r="62" spans="1:19" ht="21">
      <c r="A62" s="140" t="s">
        <v>45</v>
      </c>
      <c r="B62" s="140"/>
      <c r="C62" s="140"/>
      <c r="D62" s="140"/>
      <c r="E62" s="140"/>
      <c r="F62" s="140"/>
      <c r="G62" s="140"/>
      <c r="H62" s="140"/>
      <c r="I62" s="140"/>
      <c r="J62" s="140"/>
      <c r="K62" s="140"/>
    </row>
    <row r="66" spans="1:4">
      <c r="A66" s="51" t="s">
        <v>47</v>
      </c>
      <c r="B66" s="31"/>
      <c r="C66" s="31"/>
      <c r="D66" s="31"/>
    </row>
    <row r="67" spans="1:4">
      <c r="A67" s="51" t="s">
        <v>56</v>
      </c>
      <c r="B67" s="31"/>
      <c r="C67" s="31"/>
      <c r="D67" s="31"/>
    </row>
    <row r="68" spans="1:4">
      <c r="A68" s="31" t="s">
        <v>55</v>
      </c>
      <c r="C68" s="31"/>
      <c r="D68" s="31"/>
    </row>
    <row r="69" spans="1:4">
      <c r="A69" s="51" t="s">
        <v>48</v>
      </c>
      <c r="B69" s="31"/>
      <c r="C69" s="31"/>
      <c r="D69" s="31"/>
    </row>
    <row r="70" spans="1:4">
      <c r="A70" s="51" t="s">
        <v>58</v>
      </c>
      <c r="B70" s="31"/>
      <c r="C70" s="31"/>
      <c r="D70" s="31"/>
    </row>
    <row r="71" spans="1:4">
      <c r="A71" s="31" t="s">
        <v>57</v>
      </c>
      <c r="C71" s="31"/>
      <c r="D71" s="31"/>
    </row>
    <row r="72" spans="1:4">
      <c r="A72" s="51" t="s">
        <v>49</v>
      </c>
      <c r="B72" s="31"/>
      <c r="C72" s="31"/>
      <c r="D72" s="31"/>
    </row>
    <row r="73" spans="1:4">
      <c r="A73" s="51" t="s">
        <v>51</v>
      </c>
      <c r="B73" s="31"/>
      <c r="C73" s="31"/>
      <c r="D73" s="31"/>
    </row>
    <row r="74" spans="1:4">
      <c r="A74" s="51" t="s">
        <v>59</v>
      </c>
      <c r="B74" s="31"/>
      <c r="C74" s="31"/>
      <c r="D74" s="31"/>
    </row>
    <row r="75" spans="1:4">
      <c r="A75" s="51" t="s">
        <v>60</v>
      </c>
      <c r="B75" s="31"/>
      <c r="C75" s="31"/>
      <c r="D75" s="31"/>
    </row>
    <row r="76" spans="1:4">
      <c r="A76" s="51" t="s">
        <v>62</v>
      </c>
      <c r="B76" s="31"/>
      <c r="C76" s="31"/>
      <c r="D76" s="31"/>
    </row>
    <row r="77" spans="1:4">
      <c r="A77" s="51" t="s">
        <v>61</v>
      </c>
      <c r="B77" s="31"/>
      <c r="C77" s="31"/>
      <c r="D77" s="31"/>
    </row>
    <row r="78" spans="1:4">
      <c r="A78" s="51" t="s">
        <v>50</v>
      </c>
      <c r="B78" s="31"/>
      <c r="C78" s="31"/>
      <c r="D78" s="31"/>
    </row>
    <row r="79" spans="1:4">
      <c r="A79" s="51" t="s">
        <v>131</v>
      </c>
      <c r="B79" s="31"/>
      <c r="C79" s="31"/>
      <c r="D79" s="31"/>
    </row>
    <row r="83" spans="1:10">
      <c r="A83" s="51" t="s">
        <v>63</v>
      </c>
      <c r="B83" s="31"/>
      <c r="C83" s="31"/>
      <c r="D83" s="31"/>
      <c r="E83" s="31"/>
      <c r="F83" s="31"/>
      <c r="G83" s="31"/>
      <c r="H83" s="31"/>
      <c r="I83" s="31"/>
      <c r="J83" s="31"/>
    </row>
    <row r="84" spans="1:10">
      <c r="A84" s="112" t="s">
        <v>128</v>
      </c>
      <c r="B84" s="31"/>
      <c r="C84" s="31"/>
      <c r="D84" s="31"/>
      <c r="E84" s="31"/>
      <c r="F84" s="31"/>
      <c r="G84" s="31"/>
      <c r="H84" s="31"/>
      <c r="I84" s="31"/>
      <c r="J84" s="31"/>
    </row>
    <row r="85" spans="1:10">
      <c r="A85" s="51" t="s">
        <v>64</v>
      </c>
      <c r="B85" s="31"/>
      <c r="C85" s="31"/>
      <c r="D85" s="31"/>
      <c r="E85" s="31"/>
      <c r="F85" s="31"/>
      <c r="G85" s="31"/>
      <c r="H85" s="31"/>
      <c r="I85" s="31"/>
      <c r="J85" s="31"/>
    </row>
    <row r="86" spans="1:10">
      <c r="A86" s="111" t="s">
        <v>129</v>
      </c>
      <c r="C86" s="31"/>
      <c r="D86" s="31"/>
      <c r="E86" s="31"/>
      <c r="F86" s="31"/>
      <c r="G86" s="31"/>
      <c r="H86" s="31"/>
      <c r="I86" s="31"/>
      <c r="J86" s="31"/>
    </row>
    <row r="87" spans="1:10">
      <c r="A87" s="51" t="s">
        <v>65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35" t="s">
        <v>52</v>
      </c>
      <c r="C88" s="31"/>
      <c r="D88" s="31"/>
      <c r="E88" s="31"/>
      <c r="F88" s="31"/>
      <c r="G88" s="31"/>
      <c r="H88" s="31"/>
      <c r="I88" s="31"/>
      <c r="J88" s="31"/>
    </row>
    <row r="89" spans="1:10">
      <c r="A89" s="51" t="s">
        <v>66</v>
      </c>
      <c r="B89" s="31"/>
      <c r="C89" s="31"/>
      <c r="D89" s="31"/>
      <c r="E89" s="31"/>
      <c r="F89" s="31"/>
      <c r="G89" s="31"/>
      <c r="H89" s="31"/>
      <c r="I89" s="31"/>
      <c r="J89" s="31"/>
    </row>
    <row r="90" spans="1:10">
      <c r="A90" s="51" t="s">
        <v>67</v>
      </c>
      <c r="B90" s="31"/>
      <c r="C90" s="31"/>
      <c r="D90" s="31"/>
      <c r="E90" s="31"/>
      <c r="F90" s="31"/>
      <c r="G90" s="31"/>
      <c r="H90" s="31"/>
      <c r="I90" s="31"/>
      <c r="J90" s="31"/>
    </row>
    <row r="91" spans="1:10">
      <c r="A91" s="51" t="s">
        <v>68</v>
      </c>
      <c r="B91" s="31"/>
      <c r="C91" s="31"/>
      <c r="D91" s="31"/>
      <c r="E91" s="31"/>
      <c r="F91" s="31"/>
      <c r="G91" s="31"/>
      <c r="H91" s="31"/>
      <c r="I91" s="31"/>
      <c r="J91" s="31"/>
    </row>
    <row r="92" spans="1:10">
      <c r="A92" s="51" t="s">
        <v>69</v>
      </c>
      <c r="B92" s="31"/>
      <c r="C92" s="31"/>
      <c r="D92" s="31"/>
      <c r="E92" s="31"/>
      <c r="F92" s="31"/>
      <c r="G92" s="31"/>
      <c r="H92" s="31"/>
      <c r="I92" s="31"/>
      <c r="J92" s="31"/>
    </row>
    <row r="93" spans="1:10">
      <c r="A93" s="51" t="s">
        <v>130</v>
      </c>
      <c r="B93" s="31"/>
      <c r="C93" s="31"/>
      <c r="D93" s="31"/>
      <c r="E93" s="31"/>
      <c r="F93" s="31"/>
      <c r="G93" s="31"/>
      <c r="H93" s="31"/>
      <c r="I93" s="31"/>
      <c r="J93" s="31"/>
    </row>
    <row r="97" spans="1:10">
      <c r="A97" s="51" t="s">
        <v>83</v>
      </c>
      <c r="B97" s="31"/>
      <c r="C97" s="31"/>
      <c r="D97" s="31"/>
    </row>
    <row r="98" spans="1:10">
      <c r="A98" s="51" t="s">
        <v>84</v>
      </c>
      <c r="B98" s="31"/>
      <c r="C98" s="31"/>
      <c r="D98" s="31"/>
    </row>
    <row r="99" spans="1:10">
      <c r="A99" s="41" t="s">
        <v>132</v>
      </c>
      <c r="B99" s="31"/>
      <c r="C99" s="31"/>
      <c r="D99" s="31"/>
    </row>
    <row r="100" spans="1:10">
      <c r="A100" s="41" t="s">
        <v>133</v>
      </c>
    </row>
    <row r="101" spans="1:10">
      <c r="A101" s="41" t="s">
        <v>134</v>
      </c>
    </row>
    <row r="106" spans="1:10">
      <c r="B106" s="41"/>
    </row>
    <row r="107" spans="1:10" ht="15.6">
      <c r="B107" s="42"/>
    </row>
    <row r="108" spans="1:10" ht="15.6">
      <c r="B108" s="42"/>
    </row>
    <row r="110" spans="1:10">
      <c r="C110" s="43"/>
      <c r="H110" s="43"/>
      <c r="I110" s="43"/>
      <c r="J110" s="43"/>
    </row>
    <row r="111" spans="1:10">
      <c r="C111" s="43"/>
      <c r="H111" s="43"/>
      <c r="I111" s="43"/>
      <c r="J111" s="43"/>
    </row>
    <row r="113" spans="2:10">
      <c r="C113" s="2"/>
      <c r="H113" s="2"/>
      <c r="I113" s="2"/>
      <c r="J113" s="2"/>
    </row>
    <row r="115" spans="2:10" ht="15.6">
      <c r="B115" s="44"/>
    </row>
  </sheetData>
  <sheetProtection selectLockedCells="1"/>
  <mergeCells count="53">
    <mergeCell ref="F3:I3"/>
    <mergeCell ref="F4:I4"/>
    <mergeCell ref="D7:F7"/>
    <mergeCell ref="B36:D36"/>
    <mergeCell ref="I11:K11"/>
    <mergeCell ref="A29:E29"/>
    <mergeCell ref="A13:E13"/>
    <mergeCell ref="A19:E19"/>
    <mergeCell ref="I8:K8"/>
    <mergeCell ref="I9:K9"/>
    <mergeCell ref="J36:K36"/>
    <mergeCell ref="M50:N51"/>
    <mergeCell ref="O50:O51"/>
    <mergeCell ref="P50:Q51"/>
    <mergeCell ref="M45:O46"/>
    <mergeCell ref="S50:S55"/>
    <mergeCell ref="M47:N47"/>
    <mergeCell ref="M48:N48"/>
    <mergeCell ref="P45:Q46"/>
    <mergeCell ref="A62:K62"/>
    <mergeCell ref="B41:D41"/>
    <mergeCell ref="J37:K37"/>
    <mergeCell ref="A15:C15"/>
    <mergeCell ref="A14:C14"/>
    <mergeCell ref="B37:D37"/>
    <mergeCell ref="F37:G37"/>
    <mergeCell ref="F36:G36"/>
    <mergeCell ref="A35:K35"/>
    <mergeCell ref="B40:D40"/>
    <mergeCell ref="J39:K39"/>
    <mergeCell ref="J40:K40"/>
    <mergeCell ref="F43:G43"/>
    <mergeCell ref="F41:G41"/>
    <mergeCell ref="F40:G40"/>
    <mergeCell ref="B39:D39"/>
    <mergeCell ref="J41:K41"/>
    <mergeCell ref="J42:K42"/>
    <mergeCell ref="J43:K43"/>
    <mergeCell ref="B43:D43"/>
    <mergeCell ref="N35:N36"/>
    <mergeCell ref="F39:G39"/>
    <mergeCell ref="B42:D42"/>
    <mergeCell ref="F42:G42"/>
    <mergeCell ref="M35:M36"/>
    <mergeCell ref="Y11:Y16"/>
    <mergeCell ref="E9:F9"/>
    <mergeCell ref="B38:D38"/>
    <mergeCell ref="F38:G38"/>
    <mergeCell ref="J38:K38"/>
    <mergeCell ref="Q35:Q36"/>
    <mergeCell ref="M33:Q34"/>
    <mergeCell ref="O35:O36"/>
    <mergeCell ref="P35:P3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55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B54"/>
  <sheetViews>
    <sheetView tabSelected="1" topLeftCell="B1" zoomScaleNormal="100" workbookViewId="0">
      <selection activeCell="C3" sqref="C3:I3"/>
    </sheetView>
  </sheetViews>
  <sheetFormatPr baseColWidth="10" defaultRowHeight="14.4"/>
  <cols>
    <col min="1" max="1" width="2.88671875" style="1" customWidth="1"/>
    <col min="2" max="2" width="19.44140625" style="1" customWidth="1"/>
    <col min="3" max="9" width="11.33203125" style="2" customWidth="1"/>
    <col min="10" max="11" width="11.44140625" style="2"/>
    <col min="12" max="12" width="11.33203125" style="2" customWidth="1"/>
    <col min="13" max="14" width="11.44140625" style="2"/>
    <col min="15" max="15" width="13.44140625" style="2" bestFit="1" customWidth="1"/>
    <col min="16" max="16" width="11.44140625" style="2" customWidth="1"/>
    <col min="17" max="17" width="14" style="2" customWidth="1"/>
    <col min="18" max="18" width="11.88671875" style="2" bestFit="1" customWidth="1"/>
    <col min="19" max="53" width="11.44140625" style="1"/>
  </cols>
  <sheetData>
    <row r="1" spans="2:53" ht="15" thickBot="1">
      <c r="B1" s="176" t="s">
        <v>12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8"/>
    </row>
    <row r="2" spans="2:53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</row>
    <row r="3" spans="2:53" s="1" customFormat="1" ht="23.1" customHeight="1">
      <c r="B3" s="43"/>
      <c r="C3" s="183" t="s">
        <v>146</v>
      </c>
      <c r="D3" s="183"/>
      <c r="E3" s="183"/>
      <c r="F3" s="183"/>
      <c r="G3" s="183"/>
      <c r="H3" s="183"/>
      <c r="I3" s="184"/>
      <c r="J3" s="116" t="s">
        <v>137</v>
      </c>
      <c r="K3" s="43"/>
      <c r="L3" s="43"/>
      <c r="M3" s="43"/>
      <c r="N3" s="43"/>
      <c r="O3" s="43"/>
      <c r="P3" s="43"/>
      <c r="Q3" s="43"/>
      <c r="R3" s="43"/>
    </row>
    <row r="4" spans="2:53">
      <c r="B4" s="113" t="s">
        <v>135</v>
      </c>
      <c r="C4" s="174">
        <v>1</v>
      </c>
      <c r="D4" s="174"/>
      <c r="E4" s="174"/>
      <c r="F4" s="174"/>
      <c r="G4" s="174"/>
      <c r="H4" s="174"/>
      <c r="I4" s="174"/>
      <c r="J4" s="125">
        <f>COUNT(C4:I4)</f>
        <v>1</v>
      </c>
      <c r="K4" s="43"/>
      <c r="L4" s="43"/>
      <c r="M4" s="43"/>
      <c r="N4" s="43"/>
      <c r="O4" s="43"/>
      <c r="P4" s="43"/>
      <c r="Q4" s="43"/>
      <c r="R4" s="43"/>
    </row>
    <row r="5" spans="2:53">
      <c r="B5" s="113" t="s">
        <v>30</v>
      </c>
      <c r="C5" s="175">
        <v>70</v>
      </c>
      <c r="D5" s="175"/>
      <c r="E5" s="175"/>
      <c r="F5" s="175"/>
      <c r="G5" s="175"/>
      <c r="H5" s="175"/>
      <c r="I5" s="175"/>
      <c r="J5" s="125">
        <f>SUM(C5:I5)</f>
        <v>70</v>
      </c>
    </row>
    <row r="6" spans="2:53">
      <c r="B6" s="113" t="s">
        <v>95</v>
      </c>
      <c r="C6" s="175">
        <v>430</v>
      </c>
      <c r="D6" s="175"/>
      <c r="E6" s="175"/>
      <c r="F6" s="175"/>
      <c r="G6" s="175"/>
      <c r="H6" s="175"/>
      <c r="I6" s="175"/>
      <c r="J6" s="125">
        <f>SUM(C6:I6)</f>
        <v>430</v>
      </c>
    </row>
    <row r="7" spans="2:53">
      <c r="B7" s="113" t="s">
        <v>73</v>
      </c>
      <c r="C7" s="124"/>
      <c r="D7" s="124"/>
      <c r="E7" s="124"/>
      <c r="F7" s="7"/>
      <c r="G7" s="7"/>
      <c r="H7" s="7"/>
      <c r="I7" s="124"/>
    </row>
    <row r="8" spans="2:53">
      <c r="B8" s="113" t="s">
        <v>136</v>
      </c>
      <c r="C8" s="174">
        <v>1</v>
      </c>
      <c r="D8" s="174"/>
      <c r="E8" s="174"/>
      <c r="F8" s="174"/>
      <c r="G8" s="174"/>
      <c r="H8" s="174"/>
      <c r="I8" s="174"/>
      <c r="J8" s="125">
        <f>SUM(C8:I8)</f>
        <v>1</v>
      </c>
    </row>
    <row r="9" spans="2:53" s="1" customFormat="1">
      <c r="B9" s="118"/>
      <c r="C9" s="2"/>
      <c r="D9" s="2"/>
      <c r="E9" s="2"/>
      <c r="F9" s="2"/>
      <c r="G9" s="2"/>
      <c r="H9" s="2"/>
      <c r="I9" s="2"/>
      <c r="J9" s="119"/>
      <c r="K9" s="2"/>
      <c r="L9" s="2"/>
      <c r="M9" s="2"/>
      <c r="N9" s="2"/>
      <c r="O9" s="2"/>
      <c r="P9" s="2"/>
      <c r="Q9" s="2"/>
      <c r="R9" s="2"/>
    </row>
    <row r="10" spans="2:53">
      <c r="C10" s="117">
        <v>1</v>
      </c>
      <c r="D10" s="117">
        <v>2</v>
      </c>
      <c r="E10" s="117">
        <v>3</v>
      </c>
      <c r="F10" s="117">
        <v>4</v>
      </c>
      <c r="G10" s="117">
        <v>5</v>
      </c>
      <c r="H10" s="117">
        <v>6</v>
      </c>
      <c r="I10" s="117">
        <v>7</v>
      </c>
    </row>
    <row r="11" spans="2:53" ht="15" customHeight="1">
      <c r="B11" s="103" t="s">
        <v>90</v>
      </c>
      <c r="C11" s="103" t="s">
        <v>141</v>
      </c>
      <c r="D11" s="103" t="s">
        <v>141</v>
      </c>
      <c r="E11" s="103" t="s">
        <v>141</v>
      </c>
      <c r="F11" s="103" t="s">
        <v>142</v>
      </c>
      <c r="G11" s="103" t="s">
        <v>143</v>
      </c>
      <c r="H11" s="103" t="s">
        <v>144</v>
      </c>
      <c r="I11" s="103" t="s">
        <v>145</v>
      </c>
      <c r="J11" s="103" t="s">
        <v>8</v>
      </c>
    </row>
    <row r="12" spans="2:53" ht="15" hidden="1" customHeight="1">
      <c r="B12" s="5" t="s">
        <v>96</v>
      </c>
      <c r="C12" s="7"/>
      <c r="D12" s="7"/>
      <c r="E12" s="7"/>
      <c r="F12" s="7"/>
      <c r="G12" s="7"/>
      <c r="H12" s="7"/>
      <c r="I12" s="7"/>
      <c r="J12" s="101">
        <f>SUM(C12:I12)</f>
        <v>0</v>
      </c>
    </row>
    <row r="13" spans="2:53" ht="15" hidden="1" customHeight="1">
      <c r="B13" s="5" t="s">
        <v>95</v>
      </c>
      <c r="C13" s="99"/>
      <c r="D13" s="99"/>
      <c r="E13" s="99"/>
      <c r="F13" s="99"/>
      <c r="G13" s="99"/>
      <c r="H13" s="99"/>
      <c r="I13" s="99"/>
      <c r="J13" s="102">
        <f>SUM(C13:I13)</f>
        <v>0</v>
      </c>
    </row>
    <row r="14" spans="2:53" ht="15" hidden="1" customHeight="1">
      <c r="B14" s="5" t="s">
        <v>88</v>
      </c>
      <c r="C14" s="98"/>
      <c r="D14" s="98"/>
      <c r="E14" s="98"/>
      <c r="F14" s="98"/>
      <c r="G14" s="98"/>
      <c r="H14" s="98"/>
      <c r="I14" s="98"/>
      <c r="J14" s="100">
        <f>SUM(C14:I14)</f>
        <v>0</v>
      </c>
      <c r="K14" s="1"/>
      <c r="N14" s="1"/>
      <c r="O14" s="1"/>
      <c r="P14" s="1"/>
      <c r="Q14" s="1"/>
      <c r="R14" s="1"/>
      <c r="AT14"/>
      <c r="AU14"/>
      <c r="AV14"/>
      <c r="AW14"/>
      <c r="AX14"/>
      <c r="AY14"/>
      <c r="AZ14"/>
      <c r="BA14"/>
    </row>
    <row r="15" spans="2:53" ht="15" customHeight="1">
      <c r="B15" s="96" t="s">
        <v>0</v>
      </c>
      <c r="C15" s="97">
        <v>41.5</v>
      </c>
      <c r="D15" s="97">
        <v>36.5</v>
      </c>
      <c r="E15" s="97">
        <v>46.5</v>
      </c>
      <c r="F15" s="97">
        <v>81.5</v>
      </c>
      <c r="G15" s="97">
        <v>46.5</v>
      </c>
      <c r="H15" s="97">
        <v>66.5</v>
      </c>
      <c r="I15" s="97">
        <v>81.5</v>
      </c>
      <c r="J15" s="1"/>
      <c r="K15" s="3"/>
      <c r="N15" s="3"/>
      <c r="O15" s="3"/>
      <c r="P15" s="3"/>
      <c r="Q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T15"/>
      <c r="AU15"/>
      <c r="AV15"/>
      <c r="AW15"/>
      <c r="AX15"/>
      <c r="AY15"/>
      <c r="AZ15"/>
      <c r="BA15"/>
    </row>
    <row r="16" spans="2:53" ht="15" hidden="1" customHeight="1">
      <c r="B16" s="56" t="s">
        <v>70</v>
      </c>
      <c r="C16" s="57"/>
      <c r="D16" s="57">
        <v>0</v>
      </c>
      <c r="E16" s="57"/>
      <c r="F16" s="57"/>
      <c r="G16" s="57"/>
      <c r="H16" s="57"/>
      <c r="I16" s="57"/>
      <c r="J16" s="1"/>
      <c r="K16" s="3"/>
      <c r="M16" s="2" t="str">
        <f>'1'!E11</f>
        <v>MANUAL</v>
      </c>
      <c r="N16" s="3"/>
      <c r="O16" s="3"/>
      <c r="P16" s="3"/>
      <c r="Q16" s="3"/>
      <c r="R16" s="50" t="s">
        <v>54</v>
      </c>
      <c r="S16" s="50" t="s">
        <v>54</v>
      </c>
      <c r="T16" s="87">
        <v>0.6</v>
      </c>
      <c r="U16" s="87">
        <v>0.4</v>
      </c>
      <c r="V16" s="3"/>
      <c r="W16" s="3"/>
      <c r="X16" s="3"/>
      <c r="Y16" s="3"/>
      <c r="Z16" s="3"/>
      <c r="AA16" s="3"/>
      <c r="AB16" s="3"/>
      <c r="AC16" s="3"/>
      <c r="AT16"/>
      <c r="AU16"/>
      <c r="AV16"/>
      <c r="AW16"/>
      <c r="AX16"/>
      <c r="AY16"/>
      <c r="AZ16"/>
      <c r="BA16"/>
    </row>
    <row r="17" spans="2:54">
      <c r="B17" s="28" t="s">
        <v>1</v>
      </c>
      <c r="C17" s="7">
        <f>4+2+4+4+3</f>
        <v>17</v>
      </c>
      <c r="D17" s="7">
        <f>5+4</f>
        <v>9</v>
      </c>
      <c r="E17" s="7">
        <f>3+3+3</f>
        <v>9</v>
      </c>
      <c r="F17" s="7">
        <f>2+2+2+2+2+2</f>
        <v>12</v>
      </c>
      <c r="G17" s="7">
        <v>9</v>
      </c>
      <c r="H17" s="7">
        <f>2+2</f>
        <v>4</v>
      </c>
      <c r="I17" s="7">
        <v>10</v>
      </c>
      <c r="J17" s="101">
        <f>SUM(C17:I17)</f>
        <v>70</v>
      </c>
      <c r="K17" s="1"/>
      <c r="M17" s="1"/>
      <c r="N17" s="1"/>
      <c r="O17" s="1"/>
      <c r="P17" s="1"/>
      <c r="Q17" s="7" t="str">
        <f>'1'!R10</f>
        <v>NUEVO</v>
      </c>
      <c r="R17" s="48">
        <f>'1'!S10</f>
        <v>375</v>
      </c>
      <c r="S17" s="85">
        <f>'1'!T10</f>
        <v>375</v>
      </c>
      <c r="T17" s="3">
        <f>$T$16*R17</f>
        <v>225</v>
      </c>
      <c r="AT17"/>
      <c r="AU17"/>
      <c r="AV17"/>
      <c r="AW17"/>
      <c r="AX17"/>
      <c r="AY17"/>
      <c r="AZ17"/>
      <c r="BA17"/>
    </row>
    <row r="18" spans="2:54">
      <c r="B18" s="17" t="s">
        <v>2</v>
      </c>
      <c r="C18" s="18">
        <f>C15*C17</f>
        <v>705.5</v>
      </c>
      <c r="D18" s="18">
        <f>D15*D17</f>
        <v>328.5</v>
      </c>
      <c r="E18" s="18">
        <f t="shared" ref="E18:I18" si="0">E15*E17</f>
        <v>418.5</v>
      </c>
      <c r="F18" s="18">
        <f t="shared" si="0"/>
        <v>978</v>
      </c>
      <c r="G18" s="18">
        <f t="shared" si="0"/>
        <v>418.5</v>
      </c>
      <c r="H18" s="18">
        <f t="shared" si="0"/>
        <v>266</v>
      </c>
      <c r="I18" s="18">
        <f t="shared" si="0"/>
        <v>815</v>
      </c>
      <c r="J18" s="18">
        <f>SUM(C18:I18)</f>
        <v>3930</v>
      </c>
      <c r="K18" s="1"/>
      <c r="P18" s="1"/>
      <c r="Q18" s="7" t="str">
        <f>'1'!R11</f>
        <v>ANTIGUO</v>
      </c>
      <c r="R18" s="48">
        <f>'1'!S11</f>
        <v>350</v>
      </c>
      <c r="S18" s="85">
        <f>'1'!T11</f>
        <v>350</v>
      </c>
      <c r="T18" s="3">
        <f t="shared" ref="T18" si="1">$T$16*R18</f>
        <v>210</v>
      </c>
      <c r="AT18"/>
      <c r="AU18"/>
      <c r="AV18"/>
      <c r="AW18"/>
      <c r="AX18"/>
      <c r="AY18"/>
      <c r="AZ18"/>
      <c r="BA18"/>
    </row>
    <row r="19" spans="2:54" ht="16.5" hidden="1" customHeight="1">
      <c r="B19" s="58" t="s">
        <v>2</v>
      </c>
      <c r="C19" s="59">
        <f>(MAX(C15:C16))*C17</f>
        <v>705.5</v>
      </c>
      <c r="D19" s="59">
        <f>(MAX(D15:D16))*D17</f>
        <v>328.5</v>
      </c>
      <c r="E19" s="59">
        <f t="shared" ref="E19:I19" si="2">(MAX(E15:E16))*E17</f>
        <v>418.5</v>
      </c>
      <c r="F19" s="59">
        <f t="shared" si="2"/>
        <v>978</v>
      </c>
      <c r="G19" s="59">
        <f t="shared" si="2"/>
        <v>418.5</v>
      </c>
      <c r="H19" s="59">
        <f t="shared" si="2"/>
        <v>266</v>
      </c>
      <c r="I19" s="59">
        <f t="shared" si="2"/>
        <v>815</v>
      </c>
      <c r="J19" s="59">
        <f>SUM(C19:I19)</f>
        <v>3930</v>
      </c>
      <c r="K19" s="1"/>
      <c r="P19" s="1"/>
      <c r="Q19" s="7" t="str">
        <f>'1'!R12</f>
        <v>MANUAL</v>
      </c>
      <c r="R19" s="48">
        <f>'1'!S12</f>
        <v>385</v>
      </c>
      <c r="S19" s="85">
        <f>'1'!T12</f>
        <v>385</v>
      </c>
      <c r="T19" s="3">
        <f>$T$16*R19</f>
        <v>231</v>
      </c>
      <c r="AT19"/>
      <c r="AU19"/>
      <c r="AV19"/>
      <c r="AW19"/>
      <c r="AX19"/>
      <c r="AY19"/>
      <c r="AZ19"/>
      <c r="BA19"/>
    </row>
    <row r="20" spans="2:54" ht="15" customHeight="1">
      <c r="B20" s="5" t="s">
        <v>3</v>
      </c>
      <c r="C20" s="8">
        <f t="shared" ref="C20:I20" si="3">C18/$J$18</f>
        <v>0.17951653944020357</v>
      </c>
      <c r="D20" s="8">
        <f t="shared" si="3"/>
        <v>8.3587786259541982E-2</v>
      </c>
      <c r="E20" s="8">
        <f t="shared" si="3"/>
        <v>0.1064885496183206</v>
      </c>
      <c r="F20" s="8">
        <f t="shared" si="3"/>
        <v>0.24885496183206107</v>
      </c>
      <c r="G20" s="8">
        <f t="shared" si="3"/>
        <v>0.1064885496183206</v>
      </c>
      <c r="H20" s="8">
        <f t="shared" si="3"/>
        <v>6.7684478371501267E-2</v>
      </c>
      <c r="I20" s="8">
        <f t="shared" si="3"/>
        <v>0.20737913486005088</v>
      </c>
      <c r="J20" s="7" t="s">
        <v>8</v>
      </c>
      <c r="K20" s="30"/>
      <c r="P20" s="1"/>
      <c r="Q20" s="7" t="str">
        <f>'1'!R13</f>
        <v>SOCIO</v>
      </c>
      <c r="R20" s="48">
        <f>'1'!S13</f>
        <v>250</v>
      </c>
      <c r="S20" s="85">
        <f>'1'!T13</f>
        <v>250</v>
      </c>
      <c r="T20" s="3">
        <f>$T$16*R20</f>
        <v>150</v>
      </c>
      <c r="AT20"/>
      <c r="AU20"/>
      <c r="AV20"/>
      <c r="AW20"/>
      <c r="AX20"/>
      <c r="AY20"/>
      <c r="AZ20"/>
      <c r="BA20"/>
    </row>
    <row r="21" spans="2:54">
      <c r="B21" s="28" t="s">
        <v>4</v>
      </c>
      <c r="C21" s="6">
        <f t="shared" ref="C21:I21" si="4">$J$21*C20</f>
        <v>41.468320610687023</v>
      </c>
      <c r="D21" s="6">
        <f t="shared" si="4"/>
        <v>19.308778625954197</v>
      </c>
      <c r="E21" s="6">
        <f t="shared" si="4"/>
        <v>24.59885496183206</v>
      </c>
      <c r="F21" s="6">
        <f t="shared" si="4"/>
        <v>57.485496183206109</v>
      </c>
      <c r="G21" s="6">
        <f t="shared" si="4"/>
        <v>24.59885496183206</v>
      </c>
      <c r="H21" s="6">
        <f t="shared" si="4"/>
        <v>15.635114503816792</v>
      </c>
      <c r="I21" s="6">
        <f t="shared" si="4"/>
        <v>47.904580152671755</v>
      </c>
      <c r="J21" s="29">
        <f>IF(R19=0,IF('1'!E11="NUEVO",'2'!R17*60%,IF('1'!E11="ANTIGUO",'2'!R18*60%,IF('1'!E11="SOCIO",60%*(250*'1'!I11),IF('1'!E11="PILOTO",60%*(250*'1'!I11),IF('2'!R19&gt;0,60%*(250*'1'!I11),IF('1'!E11="MANUAL",60%*(IF('1'!T12&gt;250,('1'!T12*'1'!I11),IF('1'!T12&lt;=250,(250*'1'!I11)))))))))),IF(S19&lt;=250,(250*'1'!I11)*60%,R19*60%))</f>
        <v>231</v>
      </c>
      <c r="K21" s="87"/>
      <c r="L21" s="180"/>
      <c r="M21" s="49"/>
      <c r="N21" s="1"/>
      <c r="O21" s="1"/>
      <c r="P21" s="1"/>
      <c r="Q21" s="7" t="str">
        <f>'1'!R14</f>
        <v>PILOTO</v>
      </c>
      <c r="R21" s="48">
        <f>'1'!S14</f>
        <v>250</v>
      </c>
      <c r="S21" s="85">
        <f>'1'!T14</f>
        <v>250</v>
      </c>
      <c r="T21" s="3">
        <f>$T$16*R21</f>
        <v>150</v>
      </c>
      <c r="AT21"/>
      <c r="AU21"/>
      <c r="AV21"/>
      <c r="AW21"/>
      <c r="AX21"/>
      <c r="AY21"/>
      <c r="AZ21"/>
      <c r="BA21"/>
    </row>
    <row r="22" spans="2:54">
      <c r="B22" s="17" t="s">
        <v>5</v>
      </c>
      <c r="C22" s="18">
        <f>C18+C21</f>
        <v>746.96832061068699</v>
      </c>
      <c r="D22" s="18">
        <f t="shared" ref="D22:I22" si="5">D18+D21</f>
        <v>347.80877862595418</v>
      </c>
      <c r="E22" s="18">
        <f t="shared" si="5"/>
        <v>443.09885496183205</v>
      </c>
      <c r="F22" s="18">
        <f t="shared" si="5"/>
        <v>1035.4854961832061</v>
      </c>
      <c r="G22" s="18">
        <f t="shared" si="5"/>
        <v>443.09885496183205</v>
      </c>
      <c r="H22" s="18">
        <f t="shared" si="5"/>
        <v>281.63511450381679</v>
      </c>
      <c r="I22" s="18">
        <f t="shared" si="5"/>
        <v>862.90458015267177</v>
      </c>
      <c r="J22" s="18">
        <f>SUM(C22:I22)</f>
        <v>4161</v>
      </c>
      <c r="K22" s="1"/>
      <c r="L22" s="180"/>
      <c r="M22" s="49"/>
      <c r="N22" s="1"/>
      <c r="O22" s="84" t="s">
        <v>87</v>
      </c>
      <c r="P22" s="84"/>
      <c r="Q22" s="50">
        <f>250*60%</f>
        <v>150</v>
      </c>
      <c r="R22" s="50">
        <f>250*40%</f>
        <v>100</v>
      </c>
      <c r="S22" s="85"/>
      <c r="T22" s="3"/>
      <c r="AR22"/>
      <c r="AS22"/>
      <c r="AT22"/>
      <c r="AU22"/>
      <c r="AV22"/>
      <c r="AW22"/>
      <c r="AX22"/>
      <c r="AY22"/>
      <c r="AZ22"/>
      <c r="BA22"/>
    </row>
    <row r="23" spans="2:54" ht="14.25" hidden="1" customHeight="1">
      <c r="B23" s="58" t="s">
        <v>71</v>
      </c>
      <c r="C23" s="59">
        <f>C19+C21</f>
        <v>746.96832061068699</v>
      </c>
      <c r="D23" s="59">
        <f t="shared" ref="D23:I23" si="6">D19+D21</f>
        <v>347.80877862595418</v>
      </c>
      <c r="E23" s="59">
        <f t="shared" si="6"/>
        <v>443.09885496183205</v>
      </c>
      <c r="F23" s="59">
        <f t="shared" si="6"/>
        <v>1035.4854961832061</v>
      </c>
      <c r="G23" s="59">
        <f t="shared" si="6"/>
        <v>443.09885496183205</v>
      </c>
      <c r="H23" s="59">
        <f t="shared" si="6"/>
        <v>281.63511450381679</v>
      </c>
      <c r="I23" s="59">
        <f t="shared" si="6"/>
        <v>862.90458015267177</v>
      </c>
      <c r="J23" s="59">
        <f>SUM(C23:I23)</f>
        <v>4161</v>
      </c>
      <c r="K23" s="1"/>
      <c r="M23" s="49"/>
      <c r="N23" s="1"/>
      <c r="O23" s="30"/>
      <c r="P23" s="1"/>
      <c r="AT23"/>
      <c r="AU23"/>
      <c r="AV23"/>
      <c r="AW23"/>
      <c r="AX23"/>
      <c r="AY23"/>
      <c r="AZ23"/>
      <c r="BA23"/>
    </row>
    <row r="24" spans="2:54" ht="14.25" customHeight="1">
      <c r="B24" s="28" t="s">
        <v>6</v>
      </c>
      <c r="C24" s="6">
        <f t="shared" ref="C24:I24" si="7">$J$24*C20</f>
        <v>8.9758269720101787</v>
      </c>
      <c r="D24" s="6">
        <f t="shared" si="7"/>
        <v>4.1793893129770989</v>
      </c>
      <c r="E24" s="6">
        <f t="shared" si="7"/>
        <v>5.3244274809160306</v>
      </c>
      <c r="F24" s="6">
        <f t="shared" si="7"/>
        <v>12.442748091603054</v>
      </c>
      <c r="G24" s="6">
        <f t="shared" si="7"/>
        <v>5.3244274809160306</v>
      </c>
      <c r="H24" s="6">
        <f t="shared" si="7"/>
        <v>3.3842239185750635</v>
      </c>
      <c r="I24" s="6">
        <f t="shared" si="7"/>
        <v>10.368956743002544</v>
      </c>
      <c r="J24" s="29">
        <f>IF(J18&lt;5000,50,100)</f>
        <v>50</v>
      </c>
      <c r="K24" s="1"/>
      <c r="M24" s="49"/>
      <c r="N24" s="1"/>
      <c r="O24" s="1"/>
      <c r="P24" s="1"/>
      <c r="Q24" s="1"/>
      <c r="R24" s="1"/>
      <c r="AT24"/>
      <c r="AU24"/>
      <c r="AV24"/>
      <c r="AW24"/>
      <c r="AX24"/>
      <c r="AY24"/>
      <c r="AZ24"/>
      <c r="BA24"/>
    </row>
    <row r="25" spans="2:54">
      <c r="B25" s="17" t="s">
        <v>7</v>
      </c>
      <c r="C25" s="18">
        <f t="shared" ref="C25:I25" si="8">C22+C24</f>
        <v>755.94414758269716</v>
      </c>
      <c r="D25" s="18">
        <f t="shared" si="8"/>
        <v>351.98816793893127</v>
      </c>
      <c r="E25" s="18">
        <f t="shared" si="8"/>
        <v>448.42328244274808</v>
      </c>
      <c r="F25" s="18">
        <f t="shared" si="8"/>
        <v>1047.9282442748092</v>
      </c>
      <c r="G25" s="18">
        <f t="shared" si="8"/>
        <v>448.42328244274808</v>
      </c>
      <c r="H25" s="18">
        <f t="shared" si="8"/>
        <v>285.01933842239185</v>
      </c>
      <c r="I25" s="18">
        <f t="shared" si="8"/>
        <v>873.27353689567428</v>
      </c>
      <c r="J25" s="18">
        <f>SUM(C25:I25)</f>
        <v>4211</v>
      </c>
      <c r="K25" s="1"/>
      <c r="M25" s="49"/>
      <c r="N25" s="1"/>
      <c r="O25" s="1"/>
      <c r="P25" s="1"/>
      <c r="Q25" s="1"/>
      <c r="R25" s="1"/>
      <c r="AT25"/>
      <c r="AU25"/>
      <c r="AV25"/>
      <c r="AW25"/>
      <c r="AX25"/>
      <c r="AY25"/>
      <c r="AZ25"/>
      <c r="BA25"/>
    </row>
    <row r="26" spans="2:54" ht="18.75" hidden="1" customHeight="1">
      <c r="B26" s="58" t="s">
        <v>72</v>
      </c>
      <c r="C26" s="59">
        <f>C23+C24</f>
        <v>755.94414758269716</v>
      </c>
      <c r="D26" s="59">
        <f>D23+D24</f>
        <v>351.98816793893127</v>
      </c>
      <c r="E26" s="59">
        <f t="shared" ref="E26:I26" si="9">E23+E24</f>
        <v>448.42328244274808</v>
      </c>
      <c r="F26" s="59">
        <f t="shared" si="9"/>
        <v>1047.9282442748092</v>
      </c>
      <c r="G26" s="59">
        <f t="shared" si="9"/>
        <v>448.42328244274808</v>
      </c>
      <c r="H26" s="59">
        <f t="shared" si="9"/>
        <v>285.01933842239185</v>
      </c>
      <c r="I26" s="59">
        <f t="shared" si="9"/>
        <v>873.27353689567428</v>
      </c>
      <c r="J26" s="59">
        <f>SUM(C26:I26)</f>
        <v>4211</v>
      </c>
      <c r="M26" s="49"/>
    </row>
    <row r="27" spans="2:54">
      <c r="M27" s="49"/>
    </row>
    <row r="28" spans="2:54">
      <c r="B28" s="182" t="s">
        <v>11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  <c r="Q28" s="182"/>
      <c r="R28" s="182"/>
    </row>
    <row r="30" spans="2:54">
      <c r="C30" s="52"/>
      <c r="D30" s="52"/>
      <c r="E30" s="52"/>
      <c r="F30" s="52"/>
      <c r="G30" s="52"/>
      <c r="H30" s="52"/>
      <c r="I30" s="52"/>
      <c r="S30" s="2"/>
      <c r="BB30" s="1"/>
    </row>
    <row r="31" spans="2:54">
      <c r="B31" s="53" t="s">
        <v>40</v>
      </c>
      <c r="C31" s="54">
        <f>C17*C30</f>
        <v>0</v>
      </c>
      <c r="D31" s="54">
        <f t="shared" ref="D31:I31" si="10">D17*D30</f>
        <v>0</v>
      </c>
      <c r="E31" s="54">
        <f t="shared" si="10"/>
        <v>0</v>
      </c>
      <c r="F31" s="54">
        <f t="shared" si="10"/>
        <v>0</v>
      </c>
      <c r="G31" s="54">
        <f t="shared" si="10"/>
        <v>0</v>
      </c>
      <c r="H31" s="54">
        <f t="shared" si="10"/>
        <v>0</v>
      </c>
      <c r="I31" s="54">
        <f t="shared" si="10"/>
        <v>0</v>
      </c>
      <c r="J31" s="54">
        <f>SUM(C31:I31)</f>
        <v>0</v>
      </c>
      <c r="S31" s="2"/>
      <c r="BB31" s="1"/>
    </row>
    <row r="33" spans="1:53"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11">
        <v>0</v>
      </c>
      <c r="J33" s="9" t="s">
        <v>8</v>
      </c>
      <c r="K33" s="1"/>
      <c r="L33" s="1"/>
      <c r="M33" s="1"/>
      <c r="N33" s="181"/>
      <c r="O33" s="181"/>
      <c r="P33" s="1"/>
      <c r="Q33" s="1"/>
      <c r="R33" s="1"/>
      <c r="AT33"/>
      <c r="AU33"/>
      <c r="AV33"/>
      <c r="AW33"/>
      <c r="AX33"/>
      <c r="AY33"/>
      <c r="AZ33"/>
      <c r="BA33"/>
    </row>
    <row r="34" spans="1:53">
      <c r="B34" s="9" t="s">
        <v>9</v>
      </c>
      <c r="C34" s="6">
        <f>MAX(C25:C26)*C33</f>
        <v>0</v>
      </c>
      <c r="D34" s="6">
        <f t="shared" ref="D34:I34" si="11">MAX(D25:D26)*D33</f>
        <v>0</v>
      </c>
      <c r="E34" s="6">
        <f t="shared" si="11"/>
        <v>0</v>
      </c>
      <c r="F34" s="6">
        <f t="shared" si="11"/>
        <v>0</v>
      </c>
      <c r="G34" s="6">
        <f t="shared" si="11"/>
        <v>0</v>
      </c>
      <c r="H34" s="6">
        <f t="shared" si="11"/>
        <v>0</v>
      </c>
      <c r="I34" s="6">
        <f t="shared" si="11"/>
        <v>0</v>
      </c>
      <c r="J34" s="10">
        <f>SUM(C34:I34)</f>
        <v>0</v>
      </c>
      <c r="K34" s="1"/>
      <c r="L34" s="1"/>
      <c r="M34" s="1"/>
      <c r="N34" s="181"/>
      <c r="O34" s="181"/>
      <c r="P34" s="1"/>
      <c r="Q34" s="1"/>
      <c r="R34" s="1"/>
      <c r="AT34"/>
      <c r="AU34"/>
      <c r="AV34"/>
      <c r="AW34"/>
      <c r="AX34"/>
      <c r="AY34"/>
      <c r="AZ34"/>
      <c r="BA34"/>
    </row>
    <row r="35" spans="1:53" s="14" customFormat="1">
      <c r="A35" s="12"/>
      <c r="B35" s="16" t="s">
        <v>13</v>
      </c>
      <c r="C35" s="13">
        <f>((MAX(C25:C26))+C34)*16%</f>
        <v>120.95106361323155</v>
      </c>
      <c r="D35" s="13">
        <f t="shared" ref="D35:I35" si="12">((MAX(D25:D26))+D34)*16%</f>
        <v>56.318106870229002</v>
      </c>
      <c r="E35" s="13">
        <f t="shared" si="12"/>
        <v>71.747725190839688</v>
      </c>
      <c r="F35" s="13">
        <f t="shared" si="12"/>
        <v>167.66851908396947</v>
      </c>
      <c r="G35" s="13">
        <f t="shared" si="12"/>
        <v>71.747725190839688</v>
      </c>
      <c r="H35" s="13">
        <f t="shared" si="12"/>
        <v>45.603094147582695</v>
      </c>
      <c r="I35" s="13">
        <f t="shared" si="12"/>
        <v>139.72376590330788</v>
      </c>
      <c r="J35" s="10">
        <f>SUM(C35:I35)</f>
        <v>673.76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</row>
    <row r="36" spans="1:53" s="14" customFormat="1">
      <c r="A36" s="12"/>
      <c r="B36" s="16" t="s">
        <v>14</v>
      </c>
      <c r="C36" s="13">
        <f>((MAX(C25:C26))+C34)*2%</f>
        <v>15.118882951653944</v>
      </c>
      <c r="D36" s="13">
        <f t="shared" ref="D36:I36" si="13">((MAX(D25:D26))+D34)*2%</f>
        <v>7.0397633587786252</v>
      </c>
      <c r="E36" s="15">
        <f t="shared" si="13"/>
        <v>8.968465648854961</v>
      </c>
      <c r="F36" s="15">
        <f t="shared" si="13"/>
        <v>20.958564885496184</v>
      </c>
      <c r="G36" s="15">
        <f t="shared" si="13"/>
        <v>8.968465648854961</v>
      </c>
      <c r="H36" s="15">
        <f t="shared" si="13"/>
        <v>5.7003867684478369</v>
      </c>
      <c r="I36" s="15">
        <f t="shared" si="13"/>
        <v>17.465470737913485</v>
      </c>
      <c r="J36" s="10">
        <f>SUM(C36:I36)</f>
        <v>84.22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</row>
    <row r="37" spans="1:53" s="14" customFormat="1">
      <c r="A37" s="12"/>
      <c r="B37" s="16" t="s">
        <v>10</v>
      </c>
      <c r="C37" s="13">
        <f>((MAX(C25:C26)+C34+C35+C36)*3.5%)</f>
        <v>31.220493295165397</v>
      </c>
      <c r="D37" s="13">
        <f t="shared" ref="D37:I37" si="14">((MAX(D25:D26)+D34+D35+D36)*3.5%)</f>
        <v>14.537111335877864</v>
      </c>
      <c r="E37" s="13">
        <f t="shared" si="14"/>
        <v>18.519881564885498</v>
      </c>
      <c r="F37" s="13">
        <f t="shared" si="14"/>
        <v>43.279436488549621</v>
      </c>
      <c r="G37" s="13">
        <f t="shared" si="14"/>
        <v>18.519881564885498</v>
      </c>
      <c r="H37" s="13">
        <f t="shared" si="14"/>
        <v>11.771298676844784</v>
      </c>
      <c r="I37" s="13">
        <f t="shared" si="14"/>
        <v>36.066197073791351</v>
      </c>
      <c r="J37" s="10">
        <f>SUM(C37:I37)</f>
        <v>173.91430000000003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</row>
    <row r="38" spans="1:53">
      <c r="B38" s="19" t="s">
        <v>8</v>
      </c>
      <c r="C38" s="20">
        <f t="shared" ref="C38:I38" si="15">SUM(C34:C37)</f>
        <v>167.2904398600509</v>
      </c>
      <c r="D38" s="20">
        <f t="shared" si="15"/>
        <v>77.894981564885498</v>
      </c>
      <c r="E38" s="20">
        <f t="shared" si="15"/>
        <v>99.236072404580142</v>
      </c>
      <c r="F38" s="20">
        <f t="shared" si="15"/>
        <v>231.90652045801528</v>
      </c>
      <c r="G38" s="20">
        <f t="shared" si="15"/>
        <v>99.236072404580142</v>
      </c>
      <c r="H38" s="20">
        <f t="shared" si="15"/>
        <v>63.074779592875316</v>
      </c>
      <c r="I38" s="20">
        <f t="shared" si="15"/>
        <v>193.25543371501271</v>
      </c>
      <c r="J38" s="18">
        <f>SUM(C38:I38)</f>
        <v>931.89429999999993</v>
      </c>
      <c r="K38" s="1"/>
      <c r="L38" s="1"/>
      <c r="M38" s="1"/>
      <c r="N38" s="1"/>
      <c r="O38" s="1"/>
      <c r="P38" s="1"/>
      <c r="Q38" s="1"/>
      <c r="R38" s="1"/>
      <c r="AT38"/>
      <c r="AU38"/>
      <c r="AV38"/>
      <c r="AW38"/>
      <c r="AX38"/>
      <c r="AY38"/>
      <c r="AZ38"/>
      <c r="BA38"/>
    </row>
    <row r="39" spans="1:53">
      <c r="P39" s="1"/>
      <c r="Q39" s="3"/>
      <c r="R39" s="1"/>
      <c r="AY39"/>
      <c r="AZ39"/>
      <c r="BA39"/>
    </row>
    <row r="40" spans="1:53">
      <c r="U40" s="24" t="s">
        <v>21</v>
      </c>
      <c r="V40" s="24">
        <v>3.7</v>
      </c>
    </row>
    <row r="42" spans="1:53">
      <c r="B42" s="179" t="s">
        <v>16</v>
      </c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</row>
    <row r="44" spans="1:53">
      <c r="C44" s="21">
        <f>+C20</f>
        <v>0.17951653944020357</v>
      </c>
      <c r="D44" s="21">
        <f t="shared" ref="D44:I44" si="16">+D20</f>
        <v>8.3587786259541982E-2</v>
      </c>
      <c r="E44" s="21">
        <f t="shared" si="16"/>
        <v>0.1064885496183206</v>
      </c>
      <c r="F44" s="21">
        <f t="shared" si="16"/>
        <v>0.24885496183206107</v>
      </c>
      <c r="G44" s="21">
        <f t="shared" si="16"/>
        <v>0.1064885496183206</v>
      </c>
      <c r="H44" s="21">
        <f t="shared" si="16"/>
        <v>6.7684478371501267E-2</v>
      </c>
      <c r="I44" s="21">
        <f t="shared" si="16"/>
        <v>0.20737913486005088</v>
      </c>
      <c r="J44" s="7" t="s">
        <v>8</v>
      </c>
      <c r="K44" s="1"/>
      <c r="L44" s="1"/>
      <c r="M44" s="1"/>
      <c r="N44" s="1"/>
      <c r="O44" s="1"/>
      <c r="P44" s="1"/>
      <c r="Q44" s="1"/>
      <c r="R44" s="1"/>
      <c r="AT44"/>
      <c r="AU44"/>
      <c r="AV44"/>
      <c r="AW44"/>
      <c r="AX44"/>
      <c r="AY44"/>
      <c r="AZ44"/>
      <c r="BA44"/>
    </row>
    <row r="45" spans="1:53">
      <c r="B45" s="28" t="s">
        <v>15</v>
      </c>
      <c r="C45" s="23">
        <f t="shared" ref="C45:I45" si="17">$J$45*C44</f>
        <v>27.645547073791349</v>
      </c>
      <c r="D45" s="23">
        <f t="shared" si="17"/>
        <v>12.872519083969465</v>
      </c>
      <c r="E45" s="23">
        <f t="shared" si="17"/>
        <v>16.399236641221375</v>
      </c>
      <c r="F45" s="23">
        <f t="shared" si="17"/>
        <v>38.323664122137409</v>
      </c>
      <c r="G45" s="23">
        <f t="shared" si="17"/>
        <v>16.399236641221375</v>
      </c>
      <c r="H45" s="23">
        <f t="shared" si="17"/>
        <v>10.423409669211194</v>
      </c>
      <c r="I45" s="23">
        <f t="shared" si="17"/>
        <v>31.936386768447836</v>
      </c>
      <c r="J45" s="29">
        <f>IF(R19=0,IF('1'!E11="NUEVO",'2'!R17*40%,IF('1'!E11="ANTIGUO",'2'!R18*40%,IF('1'!E11="SOCIO",40%*(250*'1'!I11),IF('1'!E11="PILOTO",40%*(250*'1'!I11),IF('2'!R19&gt;0,40%*(250*'1'!I11),IF('1'!E11="MANUAL",40%*(IF('1'!T12&gt;250,('1'!T12*'1'!I11),IF('1'!T12&lt;=250,(250*'1'!I11)))))))))),IF(S19&lt;=250,(250*'1'!I11)*40%,R19*40%))</f>
        <v>154</v>
      </c>
      <c r="K45" s="87"/>
      <c r="L45" s="1"/>
      <c r="M45" s="1"/>
      <c r="N45" s="1"/>
      <c r="O45" s="1"/>
      <c r="P45" s="1"/>
      <c r="Q45" s="1"/>
      <c r="R45" s="1"/>
      <c r="AT45"/>
      <c r="AU45"/>
      <c r="AV45"/>
      <c r="AW45"/>
      <c r="AX45"/>
      <c r="AY45"/>
      <c r="AZ45"/>
      <c r="BA45"/>
    </row>
    <row r="46" spans="1:53" s="1" customFormat="1"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8" spans="1:53">
      <c r="B48" s="104" t="s">
        <v>17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</row>
    <row r="50" spans="2:53">
      <c r="B50" s="27" t="s">
        <v>15</v>
      </c>
      <c r="C50" s="7" t="str">
        <f t="shared" ref="C50" si="18">C11</f>
        <v>PU Heat Transfer Vinyl</v>
      </c>
      <c r="D50" s="7" t="str">
        <f t="shared" ref="D50:I50" si="19">D11</f>
        <v>PU Heat Transfer Vinyl</v>
      </c>
      <c r="E50" s="7" t="str">
        <f t="shared" si="19"/>
        <v>PU Heat Transfer Vinyl</v>
      </c>
      <c r="F50" s="7" t="str">
        <f t="shared" si="19"/>
        <v>Flock Heat Transfer Vinyl</v>
      </c>
      <c r="G50" s="7" t="str">
        <f t="shared" si="19"/>
        <v>Gloss Metallic Heat Transfer Vinyl</v>
      </c>
      <c r="H50" s="7" t="str">
        <f t="shared" si="19"/>
        <v>Vinilo de transferencia de calor metal</v>
      </c>
      <c r="I50" s="7" t="str">
        <f t="shared" si="19"/>
        <v>Reflective Heat Transfer Vinyl</v>
      </c>
      <c r="K50" s="1"/>
      <c r="L50" s="1"/>
      <c r="M50" s="1"/>
      <c r="N50" s="1"/>
      <c r="O50" s="1"/>
      <c r="P50" s="1"/>
      <c r="Q50" s="1"/>
      <c r="R50" s="1"/>
      <c r="AT50"/>
      <c r="AU50"/>
      <c r="AV50"/>
      <c r="AW50"/>
      <c r="AX50"/>
      <c r="AY50"/>
      <c r="AZ50"/>
      <c r="BA50"/>
    </row>
    <row r="51" spans="2:53">
      <c r="B51" s="28" t="s">
        <v>19</v>
      </c>
      <c r="C51" s="23">
        <f>C18+C38+C31+'2'!C20*('1'!$J$31)</f>
        <v>941.90430754452927</v>
      </c>
      <c r="D51" s="23">
        <f>D18+D38+D31+'2'!D20*('1'!$J$31)</f>
        <v>438.57627927480917</v>
      </c>
      <c r="E51" s="23">
        <f>E18+E38+E31+'2'!E20*('1'!$J$31)</f>
        <v>558.73416400763358</v>
      </c>
      <c r="F51" s="23">
        <f>F18+F38+F31+'2'!F20*('1'!$J$31)</f>
        <v>1305.7156807633587</v>
      </c>
      <c r="G51" s="23">
        <f>G18+G38+G31+'2'!G20*('1'!$J$31)</f>
        <v>558.73416400763358</v>
      </c>
      <c r="H51" s="23">
        <f>H18+H38+H31+'2'!H20*('1'!$J$31)</f>
        <v>355.13330376590329</v>
      </c>
      <c r="I51" s="23">
        <f>I18+I38+I31+'2'!I20*('1'!$J$31)</f>
        <v>1088.0964006361323</v>
      </c>
      <c r="J51" s="23">
        <f>SUM(C51:I51)</f>
        <v>5246.8942999999999</v>
      </c>
      <c r="K51" s="1"/>
      <c r="L51" s="1"/>
      <c r="M51" s="1"/>
      <c r="N51" s="1"/>
      <c r="O51" s="1"/>
      <c r="P51" s="1"/>
      <c r="Q51" s="1"/>
      <c r="R51" s="1"/>
      <c r="AT51"/>
      <c r="AU51"/>
      <c r="AV51"/>
      <c r="AW51"/>
      <c r="AX51"/>
      <c r="AY51"/>
      <c r="AZ51"/>
      <c r="BA51"/>
    </row>
    <row r="52" spans="2:53">
      <c r="B52" s="5" t="s">
        <v>1</v>
      </c>
      <c r="C52" s="25">
        <f>+C17</f>
        <v>17</v>
      </c>
      <c r="D52" s="25">
        <f t="shared" ref="D52:I52" si="20">+D17</f>
        <v>9</v>
      </c>
      <c r="E52" s="25">
        <f t="shared" si="20"/>
        <v>9</v>
      </c>
      <c r="F52" s="25">
        <f t="shared" si="20"/>
        <v>12</v>
      </c>
      <c r="G52" s="25">
        <f t="shared" si="20"/>
        <v>9</v>
      </c>
      <c r="H52" s="25">
        <f t="shared" si="20"/>
        <v>4</v>
      </c>
      <c r="I52" s="25">
        <f t="shared" si="20"/>
        <v>10</v>
      </c>
      <c r="K52" s="1"/>
      <c r="L52" s="1"/>
      <c r="M52" s="1"/>
      <c r="N52" s="1"/>
      <c r="O52" s="1"/>
      <c r="P52" s="1"/>
      <c r="Q52" s="1"/>
      <c r="R52" s="1"/>
      <c r="AT52"/>
      <c r="AU52"/>
      <c r="AV52"/>
      <c r="AW52"/>
      <c r="AX52"/>
      <c r="AY52"/>
      <c r="AZ52"/>
      <c r="BA52"/>
    </row>
    <row r="53" spans="2:53">
      <c r="B53" s="22" t="s">
        <v>18</v>
      </c>
      <c r="C53" s="23">
        <f t="shared" ref="C53:I53" si="21">C51/C52</f>
        <v>55.406135737913488</v>
      </c>
      <c r="D53" s="23">
        <f t="shared" si="21"/>
        <v>48.730697697201016</v>
      </c>
      <c r="E53" s="23">
        <f t="shared" si="21"/>
        <v>62.081573778625952</v>
      </c>
      <c r="F53" s="23">
        <f t="shared" si="21"/>
        <v>108.80964006361323</v>
      </c>
      <c r="G53" s="23">
        <f t="shared" si="21"/>
        <v>62.081573778625952</v>
      </c>
      <c r="H53" s="23">
        <f t="shared" si="21"/>
        <v>88.783325941475823</v>
      </c>
      <c r="I53" s="23">
        <f t="shared" si="21"/>
        <v>108.80964006361323</v>
      </c>
      <c r="K53" s="1"/>
      <c r="L53" s="1"/>
      <c r="M53" s="1"/>
      <c r="N53" s="1"/>
      <c r="O53" s="1"/>
      <c r="P53" s="1"/>
      <c r="Q53" s="1"/>
      <c r="R53" s="1"/>
      <c r="AT53"/>
      <c r="AU53"/>
      <c r="AV53"/>
      <c r="AW53"/>
      <c r="AX53"/>
      <c r="AY53"/>
      <c r="AZ53"/>
      <c r="BA53"/>
    </row>
    <row r="54" spans="2:53">
      <c r="B54" s="5" t="s">
        <v>20</v>
      </c>
      <c r="C54" s="26">
        <f t="shared" ref="C54:I54" si="22">C53*$V$40</f>
        <v>205.00270223027991</v>
      </c>
      <c r="D54" s="26">
        <f t="shared" si="22"/>
        <v>180.30358147964378</v>
      </c>
      <c r="E54" s="26">
        <f t="shared" si="22"/>
        <v>229.70182298091603</v>
      </c>
      <c r="F54" s="26">
        <f t="shared" si="22"/>
        <v>402.59566823536898</v>
      </c>
      <c r="G54" s="26">
        <f t="shared" si="22"/>
        <v>229.70182298091603</v>
      </c>
      <c r="H54" s="26">
        <f t="shared" si="22"/>
        <v>328.49830598346057</v>
      </c>
      <c r="I54" s="26">
        <f t="shared" si="22"/>
        <v>402.59566823536898</v>
      </c>
      <c r="K54" s="1"/>
      <c r="L54" s="1"/>
      <c r="M54" s="1"/>
      <c r="N54" s="1"/>
      <c r="O54" s="1"/>
      <c r="P54" s="1"/>
      <c r="Q54" s="1"/>
      <c r="R54" s="1"/>
      <c r="AT54"/>
      <c r="AU54"/>
      <c r="AV54"/>
      <c r="AW54"/>
      <c r="AX54"/>
      <c r="AY54"/>
      <c r="AZ54"/>
      <c r="BA54"/>
    </row>
  </sheetData>
  <mergeCells count="10">
    <mergeCell ref="B42:R42"/>
    <mergeCell ref="L21:L22"/>
    <mergeCell ref="N33:O34"/>
    <mergeCell ref="B28:R28"/>
    <mergeCell ref="C3:I3"/>
    <mergeCell ref="C4:I4"/>
    <mergeCell ref="C5:I5"/>
    <mergeCell ref="C6:I6"/>
    <mergeCell ref="C8:I8"/>
    <mergeCell ref="B1:R1"/>
  </mergeCells>
  <phoneticPr fontId="19" type="noConversion"/>
  <pageMargins left="0.7" right="0.7" top="0.75" bottom="0.75" header="0.3" footer="0.3"/>
  <pageSetup orientation="portrait" r:id="rId1"/>
  <cellWatches>
    <cellWatch r="J38"/>
  </cellWatches>
  <ignoredErrors>
    <ignoredError sqref="J2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cp:lastPrinted>2025-07-25T19:24:28Z</cp:lastPrinted>
  <dcterms:created xsi:type="dcterms:W3CDTF">2022-02-19T20:43:21Z</dcterms:created>
  <dcterms:modified xsi:type="dcterms:W3CDTF">2025-09-18T21:43:35Z</dcterms:modified>
</cp:coreProperties>
</file>