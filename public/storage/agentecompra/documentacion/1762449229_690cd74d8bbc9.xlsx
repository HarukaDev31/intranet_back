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1. CONSOL 2025\CONSOLIDADOS\#16 CONSOLIDADO\"/>
    </mc:Choice>
  </mc:AlternateContent>
  <xr:revisionPtr revIDLastSave="0" documentId="13_ncr:1_{1CBA4CFF-4AB0-4E6C-A125-75899CEBE75C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C1" sheetId="12" r:id="rId1"/>
    <sheet name="C2" sheetId="14" r:id="rId2"/>
    <sheet name="C3" sheetId="13" r:id="rId3"/>
  </sheets>
  <definedNames>
    <definedName name="_xlnm.Print_Area" localSheetId="0">'C1'!$B$5:$P$89</definedName>
    <definedName name="_xlnm.Print_Area" localSheetId="1">'C2'!$B$5:$P$88</definedName>
    <definedName name="_xlnm.Print_Area" localSheetId="2">'C3'!$B$5:$P$85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4" l="1"/>
  <c r="P18" i="13" s="1"/>
  <c r="P68" i="13" l="1"/>
  <c r="P72" i="12" l="1"/>
  <c r="P71" i="14" l="1"/>
  <c r="P70" i="13" s="1"/>
</calcChain>
</file>

<file path=xl/sharedStrings.xml><?xml version="1.0" encoding="utf-8"?>
<sst xmlns="http://schemas.openxmlformats.org/spreadsheetml/2006/main" count="681" uniqueCount="194">
  <si>
    <t>商业发票</t>
  </si>
  <si>
    <t>COMMERCIAL INVOICE</t>
  </si>
  <si>
    <t>ADD:</t>
  </si>
  <si>
    <t># INVOICE:</t>
  </si>
  <si>
    <t>DATE:</t>
  </si>
  <si>
    <t xml:space="preserve">ATTN: </t>
  </si>
  <si>
    <t>TERMS:</t>
  </si>
  <si>
    <t>CREDITO</t>
  </si>
  <si>
    <t>BUYER:</t>
  </si>
  <si>
    <t>RUC:</t>
  </si>
  <si>
    <t>PHONE</t>
  </si>
  <si>
    <t>EMAIL:</t>
  </si>
  <si>
    <t>BRAND</t>
  </si>
  <si>
    <t>DESCRIPTION OF GOODS</t>
  </si>
  <si>
    <t>QUANTITY</t>
  </si>
  <si>
    <t>PRICE (USD)</t>
  </si>
  <si>
    <t>FOB PRICE (USD</t>
  </si>
  <si>
    <t>TOTAL FOB PRICE</t>
  </si>
  <si>
    <t>0086 15355341017</t>
  </si>
  <si>
    <t>PRO MUNDO COMEX S.A.C.</t>
  </si>
  <si>
    <t>JR. ALEXANDER VON HUMBOLDT NRO.1091 DPTO.16 INT4 URB. EL PORVENIR LIMA-LIMA-LA VICTORIA</t>
  </si>
  <si>
    <t xml:space="preserve">COUNTRY OF ORIGINE: NINGBO , CHINA  </t>
  </si>
  <si>
    <t>INCOTERMS: FOB - NINGBO</t>
  </si>
  <si>
    <t>Bank Details:</t>
    <phoneticPr fontId="0" type="noConversion"/>
  </si>
  <si>
    <t>**</t>
    <phoneticPr fontId="0" type="noConversion"/>
  </si>
  <si>
    <t>City: YIWU</t>
    <phoneticPr fontId="0" type="noConversion"/>
  </si>
  <si>
    <t>Province: ZHEJIANG</t>
  </si>
  <si>
    <t>Country: CHINA</t>
  </si>
  <si>
    <t>GLOBAL SHOP INTERNATIONAL COMPANY LIMITED</t>
  </si>
  <si>
    <t>ROOM 8038/E EASEY COMMERCTATBUILDING 253 - 261 HENNESSY ROAD WAN CHAI, HONG KONG</t>
  </si>
  <si>
    <t>Intermediary Bank: BANK OF AMERICA N.A.NEW YORK BRANCH</t>
  </si>
  <si>
    <t>SWIFT BIC: BOFAUS3N</t>
  </si>
  <si>
    <t>Beneficiary Bank: ZHEJIANG CHOUZHOU COMMERCIAL BANK</t>
  </si>
  <si>
    <t>SWIFT BIC: CZCBCN2X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</si>
  <si>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</si>
  <si>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</si>
  <si>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</si>
  <si>
    <t>Ma Lao</t>
  </si>
  <si>
    <t>mvalle@probusiness.pe</t>
  </si>
  <si>
    <t>+51 932 620 592</t>
  </si>
  <si>
    <t># PROFORMA:</t>
  </si>
  <si>
    <t xml:space="preserve">PHONE: </t>
  </si>
  <si>
    <t>COMPANY:</t>
  </si>
  <si>
    <t>SELLER:</t>
  </si>
  <si>
    <t>ITEM No</t>
  </si>
  <si>
    <t>PI-251009</t>
  </si>
  <si>
    <t xml:space="preserve"> S/M</t>
  </si>
  <si>
    <t>PLANCHA DE CABELLO</t>
  </si>
  <si>
    <t>PIECES</t>
  </si>
  <si>
    <t>PLANCHA DE MALLA HEXAGONAL</t>
  </si>
  <si>
    <t>CHAPA MARIPOSA PARA CAJA RACK</t>
  </si>
  <si>
    <t>ASA GARRUCHA  PARA CAJA RACK</t>
  </si>
  <si>
    <t>ESCUADRA DOBLE DE ESQUINERO</t>
  </si>
  <si>
    <t>RUEDA DE CAJA DE TRANSPORTE</t>
  </si>
  <si>
    <t>RIEL ANGULAR METALICO</t>
  </si>
  <si>
    <t>PIN DE BLOQUEO PARA PARLANTE</t>
  </si>
  <si>
    <t>FREIDORA DE AIRE DE 10L</t>
  </si>
  <si>
    <t>LICUADORA 2 EN 1 BATIDORA</t>
  </si>
  <si>
    <t>FREIDORA DE AIRE DE 15L</t>
  </si>
  <si>
    <t>PAPEL COREANO PARA ENVOLTURA DE FLORES</t>
  </si>
  <si>
    <t>CINTA DECORATIVA</t>
  </si>
  <si>
    <t>CINTA DECORATIVA SATINADA</t>
  </si>
  <si>
    <t>ENVOLTURA PARA RAMOS ONDULADO</t>
  </si>
  <si>
    <t>FLORES ARTIFICIALES DECORATIVAS</t>
  </si>
  <si>
    <t>BOLSA DECORATIVA PARA FLORES</t>
  </si>
  <si>
    <t>BOLSA DE REGALO CON CADENITA</t>
  </si>
  <si>
    <t>BOLSA CON LAZO PARA FLORES</t>
  </si>
  <si>
    <t>CAJA DECORATIVA PARA FLORES</t>
  </si>
  <si>
    <t>BOLSA DE DECORACION PARA FLORES</t>
  </si>
  <si>
    <t>BOLSA DE REGALO CON ASAS</t>
  </si>
  <si>
    <t>BOLSA DE CORAZON PARA FLORES</t>
  </si>
  <si>
    <t>BOLSA TRANSPARENTE PARA FLORES</t>
  </si>
  <si>
    <t>PORTA ROSAS DE CARTON</t>
  </si>
  <si>
    <t xml:space="preserve"> EXTRACTOR DE CABLE ELÉCTRICO DE ACERO</t>
  </si>
  <si>
    <t>PISTOLA DE IMPACTO NEUMATICA</t>
  </si>
  <si>
    <t xml:space="preserve"> DOBLADOR DE TUBO MANUAL</t>
  </si>
  <si>
    <t xml:space="preserve"> LLAVE DE EXTENSIÓN TALADRO ELÉCTRICO</t>
  </si>
  <si>
    <t xml:space="preserve"> PLANTILLA PARA BISAGRA DE ACERO</t>
  </si>
  <si>
    <t>LLAVE DE EXTENSION UNIVERSAL</t>
  </si>
  <si>
    <t>SET DE ABRIDORES DE AGUJEROS CON BROCAS</t>
  </si>
  <si>
    <t>AFILADOR DE BROCAS ELECTRICO</t>
  </si>
  <si>
    <t>TABLA DE ESMERILADO MANUAL</t>
  </si>
  <si>
    <t>LLAVE MULTIPLICADORA DE TORSION</t>
  </si>
  <si>
    <t>REGLA PARA RECORTE DE MADERA</t>
  </si>
  <si>
    <t xml:space="preserve"> COMPRESOR DE PISTÓN DE FRENO DE DISCO</t>
  </si>
  <si>
    <t xml:space="preserve"> DESTORNILADOR CON PUNTAS INTERCAMBIABLES</t>
  </si>
  <si>
    <t>CORTADOR DE TUBOS AJUSTABLE</t>
  </si>
  <si>
    <t>PAPEL DE LIJA PARA TABLA ESMERILADO</t>
  </si>
  <si>
    <t>BINOCULAR PANORAMICO</t>
  </si>
  <si>
    <t>BINOCULARES</t>
  </si>
  <si>
    <t>AUDIFONO BLUETOOTH M19</t>
  </si>
  <si>
    <t>AUDIFONO BLUETOOTH M28</t>
  </si>
  <si>
    <t>AUDIFONO BLUETOOTH AIR39</t>
  </si>
  <si>
    <t>AUDIFONO BLUETOOTH PRO6</t>
  </si>
  <si>
    <t>AUDIFONO BLUETOOTH M25</t>
  </si>
  <si>
    <t>AUDIFONO BLUETOOTH M90PRO</t>
  </si>
  <si>
    <t>AUDIFONO BLUETOOTH F9</t>
  </si>
  <si>
    <t>AUDIFONO BLUETOOTH A6S</t>
  </si>
  <si>
    <t>AUDIFONO BLUETOOTH DX26</t>
  </si>
  <si>
    <t>FAROS LED PAR MOTOCICLETAS</t>
  </si>
  <si>
    <t>HORNO DE AIRE FORZADO PARA MUESTRAS</t>
  </si>
  <si>
    <t>BALANZA ELECTRONICA PEQUEÑA</t>
  </si>
  <si>
    <t>BALANZA ELECTRONICA MEDIANA</t>
  </si>
  <si>
    <t>BALANZA ELECTRONICA GRANDE</t>
  </si>
  <si>
    <t>SET DE CONTENEDORES DE ALUMINIO</t>
  </si>
  <si>
    <t>LAMPARA INFRARROJA DE CALOR</t>
  </si>
  <si>
    <t xml:space="preserve">LAMPARA PARA FOCO INFRARROJO </t>
  </si>
  <si>
    <t>TAZA BEBEDORA REDONDA PARA POLLO</t>
  </si>
  <si>
    <t>BEBEDERO AUTOMÁTICO REDONDO</t>
  </si>
  <si>
    <t>BEBEDERO AUTOMATICO DE ACERO</t>
  </si>
  <si>
    <t>BEBEDERO AUTOMATICO DE FORMA CAMPANA</t>
  </si>
  <si>
    <t xml:space="preserve">GRIFO DE AGUA DE PLASTICO </t>
  </si>
  <si>
    <t>SILLAS DE RUEDAS ELÉCTRICA JD-EW8026</t>
  </si>
  <si>
    <t>SILLAS DE RUEDAS ELÉCTRICA JD-EW8026R</t>
  </si>
  <si>
    <t>SILLAS DE RUEDAS ELÉCTRICA JD-EW8034</t>
  </si>
  <si>
    <t>SOMBRERO DE PESCADOR</t>
  </si>
  <si>
    <t>PASAMONTAÑAS</t>
  </si>
  <si>
    <t>CUBRIDOR DE BOCAS</t>
  </si>
  <si>
    <t>ESTUCHE PARA ESPOSAS</t>
  </si>
  <si>
    <t>JUEGO DE RODILLERAS Y CODERAS</t>
  </si>
  <si>
    <t>CORREA AJUSTABLE TACTICA</t>
  </si>
  <si>
    <t>GORRO TACTICO MILITAR</t>
  </si>
  <si>
    <t>MAQUINA RANURADORA DE LADRILLOS</t>
  </si>
  <si>
    <t>PERFORADORA HIDRÁULICA PARA CHAPA</t>
  </si>
  <si>
    <t>MAQUINA RECTIFICADORA DE PISOS</t>
  </si>
  <si>
    <t>GOTERO DE RESINA PARA CAFÉ</t>
  </si>
  <si>
    <t>GOTERO DE CAFÉ EN FORMA DUCHA</t>
  </si>
  <si>
    <t>PINCEL PARA BEBIDAS DE CAFÉ</t>
  </si>
  <si>
    <t>PRESIONADOR DE FILTRO</t>
  </si>
  <si>
    <t>CONTENEDOR DE CAFÉ GRANDE</t>
  </si>
  <si>
    <t>CASTILLO INFLABLE GRANDE</t>
  </si>
  <si>
    <t>JUEGO INFLABLE CON FORMA DE IGLÚ</t>
  </si>
  <si>
    <t>TOBOGAN INFLABLE</t>
  </si>
  <si>
    <t>MAQUINA DE GRANIZADOS</t>
  </si>
  <si>
    <t>CINTURON DE SEGURIDAD DE 3 PUNTOS</t>
  </si>
  <si>
    <t>TAPA PLASTICA PARA ENVASES DE 70ML</t>
  </si>
  <si>
    <t>MAQUINA EMPACADORA AL VACIO</t>
  </si>
  <si>
    <t>BANDEJA PARA HORNO DE COCINA</t>
  </si>
  <si>
    <t>SET DE MOCHILA DE 3 PIEZAS</t>
  </si>
  <si>
    <t>MOCHILA ESCOLAR</t>
  </si>
  <si>
    <t>LLAVERO DE CASTOR</t>
  </si>
  <si>
    <t>LLAVERO DE PANDA</t>
  </si>
  <si>
    <t>LLAVERO DE ESTUCHE CON PANDA</t>
  </si>
  <si>
    <t>S/M</t>
  </si>
  <si>
    <t>PROTECTOR DE LLUVIA</t>
  </si>
  <si>
    <t>SOPORTE DE VIDRIO</t>
  </si>
  <si>
    <t>BOLA HUECA PARA PASAMANOS</t>
  </si>
  <si>
    <t>MAQUINA DE AGUA TERMOSTATICO</t>
  </si>
  <si>
    <t>GUANTES INDUSTRIALES</t>
  </si>
  <si>
    <t>PAIRS</t>
  </si>
  <si>
    <t>DELANTAL INDUSTRIAL</t>
  </si>
  <si>
    <t>: S/M</t>
  </si>
  <si>
    <t>REGLA PARA MEDIR NITROGENO LIQUIDO</t>
  </si>
  <si>
    <t>ANTIFAZ PARA DORMIR</t>
  </si>
  <si>
    <t>MARCO DE FOTOS</t>
  </si>
  <si>
    <t>MACETA DE CERAMICA</t>
  </si>
  <si>
    <t>MACETA DE CERAMICA DECORATIVA</t>
  </si>
  <si>
    <t xml:space="preserve"> MUMEI</t>
  </si>
  <si>
    <t>BOLSA DE HOMBRO</t>
  </si>
  <si>
    <t xml:space="preserve"> ENSONIC</t>
  </si>
  <si>
    <t>MOTHERBOARD PARA COMPUTADORA H61DA</t>
  </si>
  <si>
    <t>MOTHERBOARD PARA COMPUTADORA H81DA1</t>
  </si>
  <si>
    <t xml:space="preserve"> LARA STAR</t>
  </si>
  <si>
    <t>MALETIN PARA GIMNASIO</t>
  </si>
  <si>
    <t>ZAPATILLAS PARA HALTEROFILIA</t>
  </si>
  <si>
    <t>MUÑEQUERA PARA LEVANTAMIENTO DE PESAS</t>
  </si>
  <si>
    <t xml:space="preserve"> POWER DRAGON</t>
  </si>
  <si>
    <t>TOBILLERAS PARA LEVANTAMIENTO DE PESAS</t>
  </si>
  <si>
    <t>TIZA PARA PESAS</t>
  </si>
  <si>
    <t>CINTURON PARA LEVANTAMIENTO DE PESAS</t>
  </si>
  <si>
    <t xml:space="preserve">  JALLEN GABOR</t>
  </si>
  <si>
    <t>ASPIRADORA AUTOMATICA 1200MAH</t>
  </si>
  <si>
    <t>ASPIRADORA AUTOMATICA 800MAH</t>
  </si>
  <si>
    <t xml:space="preserve"> BOTOU</t>
  </si>
  <si>
    <t>BOMBA CENTRIFUGA DE ACEITE TERMICO</t>
  </si>
  <si>
    <t xml:space="preserve"> SHANDONG</t>
  </si>
  <si>
    <t>BOMBA DE VACIO CON MOTOR INTEGRADO</t>
  </si>
  <si>
    <t>BOMBA DE VACIO BLOWER</t>
  </si>
  <si>
    <t xml:space="preserve"> BOTOU JINHAI</t>
  </si>
  <si>
    <t>BOMBA DE ENGRANAJES MEDIALUNA</t>
  </si>
  <si>
    <t>TINTAS PARA IMPRESION UV DTF</t>
  </si>
  <si>
    <t>PELICULA DE IMPRESIÓN UV DTF</t>
  </si>
  <si>
    <t>BOINA MODELO LAZO</t>
  </si>
  <si>
    <t>GORRA DE INVIERNO</t>
  </si>
  <si>
    <t>SOMBRERO MODELO LAZO</t>
  </si>
  <si>
    <t>SOMBRERO MODELO LISTON</t>
  </si>
  <si>
    <t>GORRO DE INVIERNO PARA NIÑAS</t>
  </si>
  <si>
    <t>GORRA DE INVIERNO MODELO OREJAS</t>
  </si>
  <si>
    <t>SOMBRERO MODELO OSO</t>
  </si>
  <si>
    <t>GORRA DE INVIERNO MODELO OSO</t>
  </si>
  <si>
    <t xml:space="preserve"> BEGODE</t>
  </si>
  <si>
    <t>MONOCICLO ELÉCTRICO</t>
  </si>
  <si>
    <t xml:space="preserve"> KEPOW</t>
  </si>
  <si>
    <t>SCOOTER ELECTRICO MODELO 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</si>
</sst>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_-[$$-409]* #,##0.00_ ;_-[$$-409]* \-#,##0.00\ ;_-[$$-409]* &quot;-&quot;??_ ;_-@_ "/>
    <numFmt numFmtId="166" formatCode="_-[$$-540A]* #,##0.00_ ;_-[$$-540A]* \-#,##0.00\ ;_-[$$-540A]* &quot;-&quot;??_ ;_-@_ 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4"/>
      <name val="Arial Narrow"/>
      <family val="2"/>
    </font>
    <font>
      <sz val="14"/>
      <name val="Century Gothic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u/>
      <sz val="16"/>
      <color theme="1"/>
      <name val="Arial Narrow"/>
      <family val="2"/>
    </font>
    <font>
      <sz val="16"/>
      <color theme="1"/>
      <name val="Century Gothic"/>
      <family val="2"/>
    </font>
    <font>
      <b/>
      <sz val="16"/>
      <name val="Arial Narrow"/>
      <family val="2"/>
    </font>
    <font>
      <sz val="1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0" fontId="3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164" fontId="0" fillId="2" borderId="0" xfId="0" applyNumberFormat="1" applyFill="1"/>
    <xf numFmtId="0" fontId="10" fillId="2" borderId="2" xfId="0" applyFont="1" applyFill="1" applyBorder="1"/>
    <xf numFmtId="0" fontId="10" fillId="2" borderId="0" xfId="0" applyFont="1" applyFill="1"/>
    <xf numFmtId="0" fontId="10" fillId="2" borderId="0" xfId="0" applyFont="1" applyFill="1" applyAlignment="1">
      <alignment horizontal="left"/>
    </xf>
    <xf numFmtId="49" fontId="10" fillId="2" borderId="0" xfId="0" applyNumberFormat="1" applyFont="1" applyFill="1"/>
    <xf numFmtId="0" fontId="11" fillId="2" borderId="0" xfId="1" applyFont="1" applyFill="1"/>
    <xf numFmtId="0" fontId="10" fillId="0" borderId="1" xfId="0" applyFont="1" applyBorder="1" applyAlignment="1">
      <alignment horizontal="center" vertical="center"/>
    </xf>
    <xf numFmtId="0" fontId="14" fillId="2" borderId="2" xfId="0" applyFont="1" applyFill="1" applyBorder="1"/>
    <xf numFmtId="164" fontId="13" fillId="2" borderId="7" xfId="0" applyNumberFormat="1" applyFont="1" applyFill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0" fillId="2" borderId="0" xfId="0" applyNumberFormat="1" applyFill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166" fontId="10" fillId="0" borderId="11" xfId="0" applyNumberFormat="1" applyFont="1" applyBorder="1" applyAlignment="1">
      <alignment horizontal="center" vertical="center"/>
    </xf>
    <xf numFmtId="164" fontId="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10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/>
    </xf>
    <xf numFmtId="0" fontId="9" fillId="2" borderId="0" xfId="0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 2" xfId="2" xr:uid="{00000000-0005-0000-0000-000002000000}"/>
    <cellStyle name="Normal 3 2 2" xfId="3" xr:uid="{5C3011B0-8BA3-463F-B62E-9F233BA7BAA6}"/>
    <cellStyle name="Normal 4 4" xfId="4" xr:uid="{9F086E15-676D-4819-B0FD-B584D24877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1076119</xdr:colOff>
      <xdr:row>4</xdr:row>
      <xdr:rowOff>14045</xdr:rowOff>
    </xdr:from>
    <xdr:ext cx="2840722" cy="2620434"/>
    <xdr:pic>
      <xdr:nvPicPr>
        <xdr:cNvPr id="3" name="Imagen 2">
          <a:extLst>
            <a:ext uri="{FF2B5EF4-FFF2-40B4-BE49-F238E27FC236}">
              <a16:creationId xmlns:a16="http://schemas.microsoft.com/office/drawing/2014/main" id="{71854E4C-3BDD-4840-AE4D-67308EDDC3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5" b="7725"/>
        <a:stretch>
          <a:fillRect/>
        </a:stretch>
      </xdr:blipFill>
      <xdr:spPr>
        <a:xfrm>
          <a:off x="11921012" y="776045"/>
          <a:ext cx="2840722" cy="262043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1048902</xdr:colOff>
      <xdr:row>4</xdr:row>
      <xdr:rowOff>41262</xdr:rowOff>
    </xdr:from>
    <xdr:ext cx="2840722" cy="2620434"/>
    <xdr:pic>
      <xdr:nvPicPr>
        <xdr:cNvPr id="2" name="Imagen 1">
          <a:extLst>
            <a:ext uri="{FF2B5EF4-FFF2-40B4-BE49-F238E27FC236}">
              <a16:creationId xmlns:a16="http://schemas.microsoft.com/office/drawing/2014/main" id="{489CE921-1EB3-4AB0-A4F2-98D17127EA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5" b="7725"/>
        <a:stretch>
          <a:fillRect/>
        </a:stretch>
      </xdr:blipFill>
      <xdr:spPr>
        <a:xfrm>
          <a:off x="11893795" y="803262"/>
          <a:ext cx="2840722" cy="262043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1065910</xdr:colOff>
      <xdr:row>4</xdr:row>
      <xdr:rowOff>37860</xdr:rowOff>
    </xdr:from>
    <xdr:ext cx="2840722" cy="2620434"/>
    <xdr:pic>
      <xdr:nvPicPr>
        <xdr:cNvPr id="2" name="Imagen 1">
          <a:extLst>
            <a:ext uri="{FF2B5EF4-FFF2-40B4-BE49-F238E27FC236}">
              <a16:creationId xmlns:a16="http://schemas.microsoft.com/office/drawing/2014/main" id="{AF6A0600-A3AF-4322-AB08-56D9D27DE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025" b="7725"/>
        <a:stretch>
          <a:fillRect/>
        </a:stretch>
      </xdr:blipFill>
      <xdr:spPr>
        <a:xfrm>
          <a:off x="11910803" y="799860"/>
          <a:ext cx="2840722" cy="26204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valle@probusiness.p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mvalle@probusiness.p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0C67-B481-4D82-B55C-0D622EEDCEED}">
  <sheetPr codeName="Hoja2"/>
  <dimension ref="B1:Q248"/>
  <sheetViews>
    <sheetView tabSelected="1" topLeftCell="A14" zoomScale="70" zoomScaleNormal="70" zoomScaleSheetLayoutView="70" workbookViewId="0">
      <selection activeCell="L29" sqref="L29"/>
    </sheetView>
  </sheetViews>
  <sheetFormatPr baseColWidth="10" defaultRowHeight="15" x14ac:dyDescent="0.25"/>
  <cols>
    <col min="2" max="2" width="14" customWidth="1"/>
    <col min="3" max="3" width="24.28515625" customWidth="1"/>
    <col min="4" max="4" width="8.7109375" customWidth="1"/>
    <col min="5" max="5" width="5.7109375" customWidth="1"/>
    <col min="6" max="6" width="15.7109375" customWidth="1"/>
    <col min="10" max="10" width="8.85546875" customWidth="1"/>
    <col min="11" max="11" width="9.28515625" customWidth="1"/>
    <col min="12" max="12" width="15.28515625" customWidth="1"/>
    <col min="13" max="13" width="14.85546875" customWidth="1"/>
    <col min="14" max="14" width="18.28515625" customWidth="1"/>
    <col min="15" max="15" width="11.28515625" customWidth="1"/>
    <col min="16" max="16" width="29.28515625" customWidth="1"/>
  </cols>
  <sheetData>
    <row r="1" spans="2:16" s="1" customFormat="1" x14ac:dyDescent="0.25"/>
    <row r="2" spans="2:16" s="1" customFormat="1" x14ac:dyDescent="0.25"/>
    <row r="3" spans="2:16" s="1" customFormat="1" x14ac:dyDescent="0.25"/>
    <row r="4" spans="2:16" s="1" customFormat="1" x14ac:dyDescent="0.25"/>
    <row r="5" spans="2:16" s="1" customFormat="1" ht="15" customHeight="1" x14ac:dyDescent="0.25">
      <c r="B5" s="57" t="s">
        <v>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2:16" s="1" customFormat="1" ht="15" customHeight="1" x14ac:dyDescent="0.25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2:16" s="1" customFormat="1" ht="15" customHeight="1" x14ac:dyDescent="0.25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2:16" s="1" customFormat="1" ht="15" customHeight="1" x14ac:dyDescent="0.25">
      <c r="B8" s="57" t="s">
        <v>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2:16" s="1" customFormat="1" ht="15" customHeight="1" x14ac:dyDescent="0.25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2:16" s="1" customFormat="1" x14ac:dyDescent="0.25"/>
    <row r="11" spans="2:16" s="1" customFormat="1" ht="23.25" x14ac:dyDescent="0.35">
      <c r="B11" s="28" t="s">
        <v>43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2:16" s="1" customFormat="1" ht="23.25" x14ac:dyDescent="0.35">
      <c r="B12" s="23" t="s">
        <v>42</v>
      </c>
      <c r="C12" s="23" t="s">
        <v>28</v>
      </c>
      <c r="D12" s="23"/>
      <c r="E12" s="23"/>
      <c r="F12" s="23"/>
      <c r="G12" s="23"/>
      <c r="H12" s="23"/>
      <c r="I12" s="23"/>
      <c r="J12" s="23"/>
      <c r="K12" s="23"/>
    </row>
    <row r="13" spans="2:16" s="1" customFormat="1" ht="23.25" x14ac:dyDescent="0.35">
      <c r="B13" s="23" t="s">
        <v>2</v>
      </c>
      <c r="C13" s="23" t="s">
        <v>29</v>
      </c>
      <c r="D13" s="23"/>
      <c r="E13" s="23"/>
      <c r="F13" s="23"/>
      <c r="G13" s="23"/>
      <c r="H13" s="23"/>
      <c r="I13" s="23"/>
      <c r="J13" s="23"/>
      <c r="K13" s="23"/>
    </row>
    <row r="14" spans="2:16" s="1" customFormat="1" ht="23.25" x14ac:dyDescent="0.35">
      <c r="B14" s="23" t="s">
        <v>41</v>
      </c>
      <c r="C14" s="24" t="s">
        <v>18</v>
      </c>
      <c r="D14" s="23"/>
      <c r="E14" s="23"/>
      <c r="F14" s="23"/>
      <c r="G14" s="23"/>
      <c r="H14" s="23"/>
      <c r="I14" s="23"/>
      <c r="J14" s="23"/>
      <c r="K14" s="23"/>
    </row>
    <row r="15" spans="2:16" s="1" customFormat="1" ht="23.25" x14ac:dyDescent="0.35">
      <c r="B15" s="23" t="s">
        <v>5</v>
      </c>
      <c r="C15" s="23" t="s">
        <v>37</v>
      </c>
      <c r="D15" s="23"/>
      <c r="E15" s="23"/>
      <c r="F15" s="23"/>
      <c r="G15" s="23"/>
      <c r="H15" s="23"/>
      <c r="I15" s="23"/>
      <c r="J15" s="23"/>
      <c r="K15" s="23"/>
    </row>
    <row r="16" spans="2:16" s="1" customFormat="1" ht="23.25" x14ac:dyDescent="0.35"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2:17" s="1" customFormat="1" ht="23.25" x14ac:dyDescent="0.35">
      <c r="B17" s="28" t="s">
        <v>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59" t="s">
        <v>40</v>
      </c>
      <c r="O17" s="60"/>
      <c r="P17" s="19" t="s">
        <v>45</v>
      </c>
    </row>
    <row r="18" spans="2:17" s="1" customFormat="1" ht="23.25" x14ac:dyDescent="0.35">
      <c r="B18" s="23" t="s">
        <v>42</v>
      </c>
      <c r="C18" s="23" t="s">
        <v>19</v>
      </c>
      <c r="D18" s="23"/>
      <c r="E18" s="23"/>
      <c r="F18" s="23"/>
      <c r="G18" s="23"/>
      <c r="H18" s="23"/>
      <c r="I18" s="23"/>
      <c r="J18" s="23"/>
      <c r="K18" s="23"/>
      <c r="N18" s="59" t="s">
        <v>3</v>
      </c>
      <c r="O18" s="60"/>
      <c r="P18" s="19">
        <v>91100140</v>
      </c>
    </row>
    <row r="19" spans="2:17" s="1" customFormat="1" ht="23.25" x14ac:dyDescent="0.35">
      <c r="B19" s="23" t="s">
        <v>2</v>
      </c>
      <c r="C19" s="23" t="s">
        <v>20</v>
      </c>
      <c r="D19" s="23"/>
      <c r="E19" s="23"/>
      <c r="F19" s="23"/>
      <c r="G19" s="23"/>
      <c r="H19" s="23"/>
      <c r="I19" s="23"/>
      <c r="J19" s="23"/>
      <c r="K19" s="23"/>
      <c r="N19" s="59" t="s">
        <v>4</v>
      </c>
      <c r="O19" s="60"/>
      <c r="P19" s="20">
        <v>45931</v>
      </c>
    </row>
    <row r="20" spans="2:17" s="1" customFormat="1" ht="23.25" x14ac:dyDescent="0.35">
      <c r="B20" s="23" t="s">
        <v>9</v>
      </c>
      <c r="C20" s="58">
        <v>20612452432</v>
      </c>
      <c r="D20" s="58"/>
      <c r="E20" s="23"/>
      <c r="F20" s="23"/>
      <c r="G20" s="23"/>
      <c r="H20" s="23"/>
      <c r="I20" s="23"/>
      <c r="J20" s="23"/>
      <c r="K20" s="23"/>
      <c r="N20" s="59" t="s">
        <v>6</v>
      </c>
      <c r="O20" s="60"/>
      <c r="P20" s="19" t="s">
        <v>7</v>
      </c>
    </row>
    <row r="21" spans="2:17" s="1" customFormat="1" ht="23.25" x14ac:dyDescent="0.35">
      <c r="B21" s="23" t="s">
        <v>10</v>
      </c>
      <c r="C21" s="25" t="s">
        <v>39</v>
      </c>
      <c r="D21" s="23"/>
      <c r="E21" s="23"/>
      <c r="F21" s="23"/>
      <c r="G21" s="23"/>
      <c r="H21" s="23"/>
      <c r="I21" s="23"/>
      <c r="J21" s="23"/>
      <c r="K21" s="23"/>
    </row>
    <row r="22" spans="2:17" s="1" customFormat="1" ht="23.25" x14ac:dyDescent="0.35">
      <c r="B22" s="23" t="s">
        <v>11</v>
      </c>
      <c r="C22" s="26" t="s">
        <v>38</v>
      </c>
      <c r="D22" s="23"/>
      <c r="E22" s="23"/>
      <c r="F22" s="23"/>
      <c r="G22" s="23"/>
      <c r="H22" s="23"/>
      <c r="I22" s="23"/>
      <c r="J22" s="23"/>
      <c r="K22" s="23"/>
    </row>
    <row r="23" spans="2:17" s="1" customFormat="1" x14ac:dyDescent="0.25"/>
    <row r="24" spans="2:17" s="1" customFormat="1" ht="21.6" customHeight="1" thickBot="1" x14ac:dyDescent="0.3"/>
    <row r="25" spans="2:17" s="1" customFormat="1" ht="24" thickBot="1" x14ac:dyDescent="0.3">
      <c r="B25" s="37" t="s">
        <v>44</v>
      </c>
      <c r="C25" s="38" t="s">
        <v>12</v>
      </c>
      <c r="D25" s="54" t="s">
        <v>13</v>
      </c>
      <c r="E25" s="55"/>
      <c r="F25" s="55"/>
      <c r="G25" s="55"/>
      <c r="H25" s="55"/>
      <c r="I25" s="55"/>
      <c r="J25" s="55"/>
      <c r="K25" s="56"/>
      <c r="L25" s="54" t="s">
        <v>14</v>
      </c>
      <c r="M25" s="56"/>
      <c r="N25" s="54" t="s">
        <v>15</v>
      </c>
      <c r="O25" s="56"/>
      <c r="P25" s="39" t="s">
        <v>16</v>
      </c>
      <c r="Q25" s="2"/>
    </row>
    <row r="26" spans="2:17" s="1" customFormat="1" ht="23.1" customHeight="1" x14ac:dyDescent="0.25">
      <c r="B26" s="40">
        <v>1</v>
      </c>
      <c r="C26" s="41" t="s">
        <v>46</v>
      </c>
      <c r="D26" s="67" t="s">
        <v>47</v>
      </c>
      <c r="E26" s="68"/>
      <c r="F26" s="68"/>
      <c r="G26" s="68"/>
      <c r="H26" s="68"/>
      <c r="I26" s="68"/>
      <c r="J26" s="68"/>
      <c r="K26" s="69"/>
      <c r="L26" s="41">
        <v>1200</v>
      </c>
      <c r="M26" s="41" t="s">
        <v>48</v>
      </c>
      <c r="N26" s="42">
        <v>6.74</v>
      </c>
      <c r="O26" s="41" t="s">
        <v>48</v>
      </c>
      <c r="P26" s="43">
        <v>8088</v>
      </c>
    </row>
    <row r="27" spans="2:17" s="1" customFormat="1" ht="23.1" customHeight="1" x14ac:dyDescent="0.25">
      <c r="B27" s="31">
        <v>2</v>
      </c>
      <c r="C27" s="27" t="s">
        <v>46</v>
      </c>
      <c r="D27" s="64" t="s">
        <v>49</v>
      </c>
      <c r="E27" s="65"/>
      <c r="F27" s="65"/>
      <c r="G27" s="65"/>
      <c r="H27" s="65"/>
      <c r="I27" s="65"/>
      <c r="J27" s="65"/>
      <c r="K27" s="66"/>
      <c r="L27" s="27">
        <v>200</v>
      </c>
      <c r="M27" s="27" t="s">
        <v>48</v>
      </c>
      <c r="N27" s="30">
        <v>13.74</v>
      </c>
      <c r="O27" s="27" t="s">
        <v>48</v>
      </c>
      <c r="P27" s="32">
        <v>2748</v>
      </c>
    </row>
    <row r="28" spans="2:17" s="1" customFormat="1" ht="23.1" customHeight="1" x14ac:dyDescent="0.25">
      <c r="B28" s="31">
        <v>3</v>
      </c>
      <c r="C28" s="27" t="s">
        <v>46</v>
      </c>
      <c r="D28" s="64" t="s">
        <v>50</v>
      </c>
      <c r="E28" s="65"/>
      <c r="F28" s="65"/>
      <c r="G28" s="65"/>
      <c r="H28" s="65"/>
      <c r="I28" s="65"/>
      <c r="J28" s="65"/>
      <c r="K28" s="66"/>
      <c r="L28" s="27">
        <v>500</v>
      </c>
      <c r="M28" s="27" t="s">
        <v>48</v>
      </c>
      <c r="N28" s="30">
        <v>0.73</v>
      </c>
      <c r="O28" s="27" t="s">
        <v>48</v>
      </c>
      <c r="P28" s="32">
        <v>365</v>
      </c>
    </row>
    <row r="29" spans="2:17" s="1" customFormat="1" ht="23.1" customHeight="1" x14ac:dyDescent="0.25">
      <c r="B29" s="31">
        <v>4</v>
      </c>
      <c r="C29" s="27" t="s">
        <v>46</v>
      </c>
      <c r="D29" s="64" t="s">
        <v>51</v>
      </c>
      <c r="E29" s="65"/>
      <c r="F29" s="65"/>
      <c r="G29" s="65"/>
      <c r="H29" s="65"/>
      <c r="I29" s="65"/>
      <c r="J29" s="65"/>
      <c r="K29" s="66"/>
      <c r="L29" s="27">
        <v>300</v>
      </c>
      <c r="M29" s="27" t="s">
        <v>48</v>
      </c>
      <c r="N29" s="30">
        <v>0.73</v>
      </c>
      <c r="O29" s="27" t="s">
        <v>48</v>
      </c>
      <c r="P29" s="32">
        <v>219</v>
      </c>
    </row>
    <row r="30" spans="2:17" s="1" customFormat="1" ht="23.1" customHeight="1" x14ac:dyDescent="0.25">
      <c r="B30" s="31">
        <v>5</v>
      </c>
      <c r="C30" s="27" t="s">
        <v>46</v>
      </c>
      <c r="D30" s="64" t="s">
        <v>52</v>
      </c>
      <c r="E30" s="65"/>
      <c r="F30" s="65"/>
      <c r="G30" s="65"/>
      <c r="H30" s="65"/>
      <c r="I30" s="65"/>
      <c r="J30" s="65"/>
      <c r="K30" s="66"/>
      <c r="L30" s="27">
        <v>2000</v>
      </c>
      <c r="M30" s="27" t="s">
        <v>48</v>
      </c>
      <c r="N30" s="30">
        <v>7.8E-2</v>
      </c>
      <c r="O30" s="27" t="s">
        <v>48</v>
      </c>
      <c r="P30" s="32">
        <v>156</v>
      </c>
    </row>
    <row r="31" spans="2:17" s="1" customFormat="1" ht="23.1" customHeight="1" x14ac:dyDescent="0.25">
      <c r="B31" s="31">
        <v>6</v>
      </c>
      <c r="C31" s="27" t="s">
        <v>46</v>
      </c>
      <c r="D31" s="64" t="s">
        <v>53</v>
      </c>
      <c r="E31" s="65"/>
      <c r="F31" s="65"/>
      <c r="G31" s="65"/>
      <c r="H31" s="65"/>
      <c r="I31" s="65"/>
      <c r="J31" s="65"/>
      <c r="K31" s="66"/>
      <c r="L31" s="27">
        <v>100</v>
      </c>
      <c r="M31" s="27" t="s">
        <v>48</v>
      </c>
      <c r="N31" s="30">
        <v>1.3</v>
      </c>
      <c r="O31" s="27" t="s">
        <v>48</v>
      </c>
      <c r="P31" s="32">
        <v>130</v>
      </c>
    </row>
    <row r="32" spans="2:17" s="1" customFormat="1" ht="23.1" customHeight="1" x14ac:dyDescent="0.25">
      <c r="B32" s="31">
        <v>7</v>
      </c>
      <c r="C32" s="27" t="s">
        <v>46</v>
      </c>
      <c r="D32" s="64" t="s">
        <v>54</v>
      </c>
      <c r="E32" s="65"/>
      <c r="F32" s="65"/>
      <c r="G32" s="65"/>
      <c r="H32" s="65"/>
      <c r="I32" s="65"/>
      <c r="J32" s="65"/>
      <c r="K32" s="66"/>
      <c r="L32" s="27">
        <v>600</v>
      </c>
      <c r="M32" s="27" t="s">
        <v>48</v>
      </c>
      <c r="N32" s="30">
        <v>2.8650000000000002</v>
      </c>
      <c r="O32" s="27" t="s">
        <v>48</v>
      </c>
      <c r="P32" s="32">
        <v>1719.0000000000002</v>
      </c>
    </row>
    <row r="33" spans="2:16" s="1" customFormat="1" ht="23.1" customHeight="1" x14ac:dyDescent="0.25">
      <c r="B33" s="31">
        <v>8</v>
      </c>
      <c r="C33" s="27" t="s">
        <v>46</v>
      </c>
      <c r="D33" s="64" t="s">
        <v>55</v>
      </c>
      <c r="E33" s="65"/>
      <c r="F33" s="65"/>
      <c r="G33" s="65"/>
      <c r="H33" s="65"/>
      <c r="I33" s="65"/>
      <c r="J33" s="65"/>
      <c r="K33" s="66"/>
      <c r="L33" s="27">
        <v>225</v>
      </c>
      <c r="M33" s="27" t="s">
        <v>48</v>
      </c>
      <c r="N33" s="30">
        <v>1.6833333333333333</v>
      </c>
      <c r="O33" s="27" t="s">
        <v>48</v>
      </c>
      <c r="P33" s="32">
        <v>378.75</v>
      </c>
    </row>
    <row r="34" spans="2:16" s="1" customFormat="1" ht="23.1" customHeight="1" x14ac:dyDescent="0.25">
      <c r="B34" s="31">
        <v>9</v>
      </c>
      <c r="C34" s="27" t="s">
        <v>46</v>
      </c>
      <c r="D34" s="64" t="s">
        <v>56</v>
      </c>
      <c r="E34" s="65"/>
      <c r="F34" s="65"/>
      <c r="G34" s="65"/>
      <c r="H34" s="65"/>
      <c r="I34" s="65"/>
      <c r="J34" s="65"/>
      <c r="K34" s="66"/>
      <c r="L34" s="27">
        <v>10</v>
      </c>
      <c r="M34" s="27" t="s">
        <v>48</v>
      </c>
      <c r="N34" s="30">
        <v>14.8</v>
      </c>
      <c r="O34" s="27" t="s">
        <v>48</v>
      </c>
      <c r="P34" s="32">
        <v>148</v>
      </c>
    </row>
    <row r="35" spans="2:16" s="1" customFormat="1" ht="23.1" customHeight="1" x14ac:dyDescent="0.25">
      <c r="B35" s="31">
        <v>10</v>
      </c>
      <c r="C35" s="27" t="s">
        <v>46</v>
      </c>
      <c r="D35" s="64" t="s">
        <v>57</v>
      </c>
      <c r="E35" s="65"/>
      <c r="F35" s="65"/>
      <c r="G35" s="65"/>
      <c r="H35" s="65"/>
      <c r="I35" s="65"/>
      <c r="J35" s="65"/>
      <c r="K35" s="66"/>
      <c r="L35" s="27">
        <v>2</v>
      </c>
      <c r="M35" s="27" t="s">
        <v>48</v>
      </c>
      <c r="N35" s="30">
        <v>7.5</v>
      </c>
      <c r="O35" s="27" t="s">
        <v>48</v>
      </c>
      <c r="P35" s="32">
        <v>15</v>
      </c>
    </row>
    <row r="36" spans="2:16" s="1" customFormat="1" ht="23.1" customHeight="1" x14ac:dyDescent="0.25">
      <c r="B36" s="31">
        <v>11</v>
      </c>
      <c r="C36" s="27" t="s">
        <v>46</v>
      </c>
      <c r="D36" s="64" t="s">
        <v>58</v>
      </c>
      <c r="E36" s="65"/>
      <c r="F36" s="65"/>
      <c r="G36" s="65"/>
      <c r="H36" s="65"/>
      <c r="I36" s="65"/>
      <c r="J36" s="65"/>
      <c r="K36" s="66"/>
      <c r="L36" s="27">
        <v>6</v>
      </c>
      <c r="M36" s="27" t="s">
        <v>48</v>
      </c>
      <c r="N36" s="30">
        <v>20.5</v>
      </c>
      <c r="O36" s="27" t="s">
        <v>48</v>
      </c>
      <c r="P36" s="32">
        <v>123</v>
      </c>
    </row>
    <row r="37" spans="2:16" s="1" customFormat="1" ht="23.1" customHeight="1" x14ac:dyDescent="0.25">
      <c r="B37" s="31">
        <v>12</v>
      </c>
      <c r="C37" s="27" t="s">
        <v>46</v>
      </c>
      <c r="D37" s="64" t="s">
        <v>59</v>
      </c>
      <c r="E37" s="65"/>
      <c r="F37" s="65"/>
      <c r="G37" s="65"/>
      <c r="H37" s="65"/>
      <c r="I37" s="65"/>
      <c r="J37" s="65"/>
      <c r="K37" s="66"/>
      <c r="L37" s="27">
        <v>2200</v>
      </c>
      <c r="M37" s="27" t="s">
        <v>48</v>
      </c>
      <c r="N37" s="30">
        <v>0.65</v>
      </c>
      <c r="O37" s="27" t="s">
        <v>48</v>
      </c>
      <c r="P37" s="32">
        <v>1430</v>
      </c>
    </row>
    <row r="38" spans="2:16" s="1" customFormat="1" ht="23.1" customHeight="1" x14ac:dyDescent="0.25">
      <c r="B38" s="31">
        <v>13</v>
      </c>
      <c r="C38" s="27" t="s">
        <v>46</v>
      </c>
      <c r="D38" s="64" t="s">
        <v>60</v>
      </c>
      <c r="E38" s="65"/>
      <c r="F38" s="65"/>
      <c r="G38" s="65"/>
      <c r="H38" s="65"/>
      <c r="I38" s="65"/>
      <c r="J38" s="65"/>
      <c r="K38" s="66"/>
      <c r="L38" s="27">
        <v>2930</v>
      </c>
      <c r="M38" s="27" t="s">
        <v>48</v>
      </c>
      <c r="N38" s="30">
        <v>0.8559726962457338</v>
      </c>
      <c r="O38" s="27" t="s">
        <v>48</v>
      </c>
      <c r="P38" s="32">
        <v>2508</v>
      </c>
    </row>
    <row r="39" spans="2:16" s="1" customFormat="1" ht="23.1" customHeight="1" x14ac:dyDescent="0.25">
      <c r="B39" s="31">
        <v>14</v>
      </c>
      <c r="C39" s="27" t="s">
        <v>46</v>
      </c>
      <c r="D39" s="64" t="s">
        <v>61</v>
      </c>
      <c r="E39" s="65"/>
      <c r="F39" s="65"/>
      <c r="G39" s="65"/>
      <c r="H39" s="65"/>
      <c r="I39" s="65"/>
      <c r="J39" s="65"/>
      <c r="K39" s="66"/>
      <c r="L39" s="27">
        <v>555</v>
      </c>
      <c r="M39" s="27" t="s">
        <v>48</v>
      </c>
      <c r="N39" s="30">
        <v>1.85</v>
      </c>
      <c r="O39" s="27" t="s">
        <v>48</v>
      </c>
      <c r="P39" s="32">
        <v>1026.75</v>
      </c>
    </row>
    <row r="40" spans="2:16" s="1" customFormat="1" ht="23.1" customHeight="1" x14ac:dyDescent="0.25">
      <c r="B40" s="31">
        <v>15</v>
      </c>
      <c r="C40" s="27" t="s">
        <v>46</v>
      </c>
      <c r="D40" s="64" t="s">
        <v>62</v>
      </c>
      <c r="E40" s="65"/>
      <c r="F40" s="65"/>
      <c r="G40" s="65"/>
      <c r="H40" s="65"/>
      <c r="I40" s="65"/>
      <c r="J40" s="65"/>
      <c r="K40" s="66"/>
      <c r="L40" s="27">
        <v>1700</v>
      </c>
      <c r="M40" s="27" t="s">
        <v>48</v>
      </c>
      <c r="N40" s="30">
        <v>0.5</v>
      </c>
      <c r="O40" s="27" t="s">
        <v>48</v>
      </c>
      <c r="P40" s="32">
        <v>850</v>
      </c>
    </row>
    <row r="41" spans="2:16" s="1" customFormat="1" ht="23.1" customHeight="1" x14ac:dyDescent="0.25">
      <c r="B41" s="31">
        <v>16</v>
      </c>
      <c r="C41" s="27" t="s">
        <v>46</v>
      </c>
      <c r="D41" s="64" t="s">
        <v>63</v>
      </c>
      <c r="E41" s="65"/>
      <c r="F41" s="65"/>
      <c r="G41" s="65"/>
      <c r="H41" s="65"/>
      <c r="I41" s="65"/>
      <c r="J41" s="65"/>
      <c r="K41" s="66"/>
      <c r="L41" s="27">
        <v>4000</v>
      </c>
      <c r="M41" s="27" t="s">
        <v>48</v>
      </c>
      <c r="N41" s="30">
        <v>0.54</v>
      </c>
      <c r="O41" s="27" t="s">
        <v>48</v>
      </c>
      <c r="P41" s="32">
        <v>2160</v>
      </c>
    </row>
    <row r="42" spans="2:16" s="1" customFormat="1" ht="23.1" customHeight="1" x14ac:dyDescent="0.25">
      <c r="B42" s="31">
        <v>17</v>
      </c>
      <c r="C42" s="27" t="s">
        <v>46</v>
      </c>
      <c r="D42" s="64" t="s">
        <v>64</v>
      </c>
      <c r="E42" s="65"/>
      <c r="F42" s="65"/>
      <c r="G42" s="65"/>
      <c r="H42" s="65"/>
      <c r="I42" s="65"/>
      <c r="J42" s="65"/>
      <c r="K42" s="66"/>
      <c r="L42" s="27">
        <v>1400</v>
      </c>
      <c r="M42" s="27" t="s">
        <v>48</v>
      </c>
      <c r="N42" s="30">
        <v>0.35</v>
      </c>
      <c r="O42" s="27" t="s">
        <v>48</v>
      </c>
      <c r="P42" s="32">
        <v>489.99999999999994</v>
      </c>
    </row>
    <row r="43" spans="2:16" s="1" customFormat="1" ht="23.1" customHeight="1" x14ac:dyDescent="0.25">
      <c r="B43" s="31">
        <v>18</v>
      </c>
      <c r="C43" s="27" t="s">
        <v>46</v>
      </c>
      <c r="D43" s="64" t="s">
        <v>65</v>
      </c>
      <c r="E43" s="65"/>
      <c r="F43" s="65"/>
      <c r="G43" s="65"/>
      <c r="H43" s="65"/>
      <c r="I43" s="65"/>
      <c r="J43" s="65"/>
      <c r="K43" s="66"/>
      <c r="L43" s="27">
        <v>2750</v>
      </c>
      <c r="M43" s="27" t="s">
        <v>48</v>
      </c>
      <c r="N43" s="30">
        <v>0.28000000000000003</v>
      </c>
      <c r="O43" s="27" t="s">
        <v>48</v>
      </c>
      <c r="P43" s="32">
        <v>770.00000000000011</v>
      </c>
    </row>
    <row r="44" spans="2:16" s="1" customFormat="1" ht="23.1" customHeight="1" x14ac:dyDescent="0.25">
      <c r="B44" s="31">
        <v>19</v>
      </c>
      <c r="C44" s="27" t="s">
        <v>46</v>
      </c>
      <c r="D44" s="64" t="s">
        <v>66</v>
      </c>
      <c r="E44" s="65"/>
      <c r="F44" s="65"/>
      <c r="G44" s="65"/>
      <c r="H44" s="65"/>
      <c r="I44" s="65"/>
      <c r="J44" s="65"/>
      <c r="K44" s="66"/>
      <c r="L44" s="27">
        <v>1250</v>
      </c>
      <c r="M44" s="27" t="s">
        <v>48</v>
      </c>
      <c r="N44" s="30">
        <v>0.28999999999999998</v>
      </c>
      <c r="O44" s="27" t="s">
        <v>48</v>
      </c>
      <c r="P44" s="32">
        <v>362.5</v>
      </c>
    </row>
    <row r="45" spans="2:16" s="1" customFormat="1" ht="23.1" customHeight="1" x14ac:dyDescent="0.25">
      <c r="B45" s="31">
        <v>20</v>
      </c>
      <c r="C45" s="27" t="s">
        <v>46</v>
      </c>
      <c r="D45" s="64" t="s">
        <v>67</v>
      </c>
      <c r="E45" s="65"/>
      <c r="F45" s="65"/>
      <c r="G45" s="65"/>
      <c r="H45" s="65"/>
      <c r="I45" s="65"/>
      <c r="J45" s="65"/>
      <c r="K45" s="66"/>
      <c r="L45" s="27">
        <v>1100</v>
      </c>
      <c r="M45" s="27" t="s">
        <v>48</v>
      </c>
      <c r="N45" s="30">
        <v>0.16</v>
      </c>
      <c r="O45" s="27" t="s">
        <v>48</v>
      </c>
      <c r="P45" s="32">
        <v>176</v>
      </c>
    </row>
    <row r="46" spans="2:16" s="1" customFormat="1" ht="23.1" customHeight="1" x14ac:dyDescent="0.25">
      <c r="B46" s="31">
        <v>21</v>
      </c>
      <c r="C46" s="27" t="s">
        <v>46</v>
      </c>
      <c r="D46" s="64" t="s">
        <v>68</v>
      </c>
      <c r="E46" s="65"/>
      <c r="F46" s="65"/>
      <c r="G46" s="65"/>
      <c r="H46" s="65"/>
      <c r="I46" s="65"/>
      <c r="J46" s="65"/>
      <c r="K46" s="66"/>
      <c r="L46" s="27">
        <v>2800</v>
      </c>
      <c r="M46" s="27" t="s">
        <v>48</v>
      </c>
      <c r="N46" s="30">
        <v>0.28999999999999998</v>
      </c>
      <c r="O46" s="27" t="s">
        <v>48</v>
      </c>
      <c r="P46" s="32">
        <v>812</v>
      </c>
    </row>
    <row r="47" spans="2:16" s="1" customFormat="1" ht="23.1" customHeight="1" x14ac:dyDescent="0.25">
      <c r="B47" s="31">
        <v>22</v>
      </c>
      <c r="C47" s="27" t="s">
        <v>46</v>
      </c>
      <c r="D47" s="64" t="s">
        <v>69</v>
      </c>
      <c r="E47" s="65"/>
      <c r="F47" s="65"/>
      <c r="G47" s="65"/>
      <c r="H47" s="65"/>
      <c r="I47" s="65"/>
      <c r="J47" s="65"/>
      <c r="K47" s="66"/>
      <c r="L47" s="27">
        <v>6300</v>
      </c>
      <c r="M47" s="27" t="s">
        <v>48</v>
      </c>
      <c r="N47" s="30">
        <v>0.24761904761904763</v>
      </c>
      <c r="O47" s="27" t="s">
        <v>48</v>
      </c>
      <c r="P47" s="32">
        <v>1560</v>
      </c>
    </row>
    <row r="48" spans="2:16" s="1" customFormat="1" ht="23.1" customHeight="1" x14ac:dyDescent="0.25">
      <c r="B48" s="31">
        <v>23</v>
      </c>
      <c r="C48" s="27" t="s">
        <v>46</v>
      </c>
      <c r="D48" s="64" t="s">
        <v>70</v>
      </c>
      <c r="E48" s="65"/>
      <c r="F48" s="65"/>
      <c r="G48" s="65"/>
      <c r="H48" s="65"/>
      <c r="I48" s="65"/>
      <c r="J48" s="65"/>
      <c r="K48" s="66"/>
      <c r="L48" s="27">
        <v>1800</v>
      </c>
      <c r="M48" s="27" t="s">
        <v>48</v>
      </c>
      <c r="N48" s="30">
        <v>0.32</v>
      </c>
      <c r="O48" s="27" t="s">
        <v>48</v>
      </c>
      <c r="P48" s="32">
        <v>576</v>
      </c>
    </row>
    <row r="49" spans="2:16" s="1" customFormat="1" ht="23.1" customHeight="1" x14ac:dyDescent="0.25">
      <c r="B49" s="31">
        <v>24</v>
      </c>
      <c r="C49" s="27" t="s">
        <v>46</v>
      </c>
      <c r="D49" s="64" t="s">
        <v>71</v>
      </c>
      <c r="E49" s="65"/>
      <c r="F49" s="65"/>
      <c r="G49" s="65"/>
      <c r="H49" s="65"/>
      <c r="I49" s="65"/>
      <c r="J49" s="65"/>
      <c r="K49" s="66"/>
      <c r="L49" s="27">
        <v>1200</v>
      </c>
      <c r="M49" s="27" t="s">
        <v>48</v>
      </c>
      <c r="N49" s="30">
        <v>0.49583333333333335</v>
      </c>
      <c r="O49" s="27" t="s">
        <v>48</v>
      </c>
      <c r="P49" s="32">
        <v>595</v>
      </c>
    </row>
    <row r="50" spans="2:16" s="1" customFormat="1" ht="23.1" customHeight="1" x14ac:dyDescent="0.25">
      <c r="B50" s="31">
        <v>25</v>
      </c>
      <c r="C50" s="27" t="s">
        <v>46</v>
      </c>
      <c r="D50" s="64" t="s">
        <v>72</v>
      </c>
      <c r="E50" s="65"/>
      <c r="F50" s="65"/>
      <c r="G50" s="65"/>
      <c r="H50" s="65"/>
      <c r="I50" s="65"/>
      <c r="J50" s="65"/>
      <c r="K50" s="66"/>
      <c r="L50" s="27">
        <v>1550</v>
      </c>
      <c r="M50" s="27" t="s">
        <v>48</v>
      </c>
      <c r="N50" s="30">
        <v>0.18</v>
      </c>
      <c r="O50" s="27" t="s">
        <v>48</v>
      </c>
      <c r="P50" s="32">
        <v>279</v>
      </c>
    </row>
    <row r="51" spans="2:16" s="1" customFormat="1" ht="23.1" customHeight="1" x14ac:dyDescent="0.25">
      <c r="B51" s="31">
        <v>26</v>
      </c>
      <c r="C51" s="27" t="s">
        <v>46</v>
      </c>
      <c r="D51" s="64" t="s">
        <v>73</v>
      </c>
      <c r="E51" s="65"/>
      <c r="F51" s="65"/>
      <c r="G51" s="65"/>
      <c r="H51" s="65"/>
      <c r="I51" s="65"/>
      <c r="J51" s="65"/>
      <c r="K51" s="66"/>
      <c r="L51" s="27">
        <v>405</v>
      </c>
      <c r="M51" s="27" t="s">
        <v>48</v>
      </c>
      <c r="N51" s="30">
        <v>5.35</v>
      </c>
      <c r="O51" s="27" t="s">
        <v>48</v>
      </c>
      <c r="P51" s="32">
        <v>2166.75</v>
      </c>
    </row>
    <row r="52" spans="2:16" s="1" customFormat="1" ht="23.1" customHeight="1" x14ac:dyDescent="0.25">
      <c r="B52" s="31">
        <v>27</v>
      </c>
      <c r="C52" s="27" t="s">
        <v>46</v>
      </c>
      <c r="D52" s="64" t="s">
        <v>74</v>
      </c>
      <c r="E52" s="65"/>
      <c r="F52" s="65"/>
      <c r="G52" s="65"/>
      <c r="H52" s="65"/>
      <c r="I52" s="65"/>
      <c r="J52" s="65"/>
      <c r="K52" s="66"/>
      <c r="L52" s="27">
        <v>300</v>
      </c>
      <c r="M52" s="27" t="s">
        <v>48</v>
      </c>
      <c r="N52" s="30">
        <v>11.4</v>
      </c>
      <c r="O52" s="27" t="s">
        <v>48</v>
      </c>
      <c r="P52" s="32">
        <v>3420</v>
      </c>
    </row>
    <row r="53" spans="2:16" s="1" customFormat="1" ht="23.1" customHeight="1" x14ac:dyDescent="0.25">
      <c r="B53" s="31">
        <v>28</v>
      </c>
      <c r="C53" s="27" t="s">
        <v>46</v>
      </c>
      <c r="D53" s="64" t="s">
        <v>75</v>
      </c>
      <c r="E53" s="65"/>
      <c r="F53" s="65"/>
      <c r="G53" s="65"/>
      <c r="H53" s="65"/>
      <c r="I53" s="65"/>
      <c r="J53" s="65"/>
      <c r="K53" s="66"/>
      <c r="L53" s="27">
        <v>306</v>
      </c>
      <c r="M53" s="27" t="s">
        <v>48</v>
      </c>
      <c r="N53" s="30">
        <v>4.08</v>
      </c>
      <c r="O53" s="27" t="s">
        <v>48</v>
      </c>
      <c r="P53" s="32">
        <v>1248.48</v>
      </c>
    </row>
    <row r="54" spans="2:16" s="1" customFormat="1" ht="23.1" customHeight="1" x14ac:dyDescent="0.25">
      <c r="B54" s="31">
        <v>29</v>
      </c>
      <c r="C54" s="27" t="s">
        <v>46</v>
      </c>
      <c r="D54" s="64" t="s">
        <v>76</v>
      </c>
      <c r="E54" s="65"/>
      <c r="F54" s="65"/>
      <c r="G54" s="65"/>
      <c r="H54" s="65"/>
      <c r="I54" s="65"/>
      <c r="J54" s="65"/>
      <c r="K54" s="66"/>
      <c r="L54" s="27">
        <v>204</v>
      </c>
      <c r="M54" s="27" t="s">
        <v>48</v>
      </c>
      <c r="N54" s="30">
        <v>19.100000000000001</v>
      </c>
      <c r="O54" s="27" t="s">
        <v>48</v>
      </c>
      <c r="P54" s="32">
        <v>3896.4</v>
      </c>
    </row>
    <row r="55" spans="2:16" s="1" customFormat="1" ht="23.1" customHeight="1" x14ac:dyDescent="0.25">
      <c r="B55" s="31">
        <v>30</v>
      </c>
      <c r="C55" s="27" t="s">
        <v>46</v>
      </c>
      <c r="D55" s="64" t="s">
        <v>77</v>
      </c>
      <c r="E55" s="65"/>
      <c r="F55" s="65"/>
      <c r="G55" s="65"/>
      <c r="H55" s="65"/>
      <c r="I55" s="65"/>
      <c r="J55" s="65"/>
      <c r="K55" s="66"/>
      <c r="L55" s="27">
        <v>350</v>
      </c>
      <c r="M55" s="27" t="s">
        <v>48</v>
      </c>
      <c r="N55" s="30">
        <v>8.25</v>
      </c>
      <c r="O55" s="27" t="s">
        <v>48</v>
      </c>
      <c r="P55" s="32">
        <v>2887.5</v>
      </c>
    </row>
    <row r="56" spans="2:16" s="1" customFormat="1" ht="23.1" customHeight="1" x14ac:dyDescent="0.25">
      <c r="B56" s="31">
        <v>31</v>
      </c>
      <c r="C56" s="27" t="s">
        <v>46</v>
      </c>
      <c r="D56" s="64" t="s">
        <v>78</v>
      </c>
      <c r="E56" s="65"/>
      <c r="F56" s="65"/>
      <c r="G56" s="65"/>
      <c r="H56" s="65"/>
      <c r="I56" s="65"/>
      <c r="J56" s="65"/>
      <c r="K56" s="66"/>
      <c r="L56" s="27">
        <v>100</v>
      </c>
      <c r="M56" s="27" t="s">
        <v>48</v>
      </c>
      <c r="N56" s="30">
        <v>3.8</v>
      </c>
      <c r="O56" s="27" t="s">
        <v>48</v>
      </c>
      <c r="P56" s="32">
        <v>380</v>
      </c>
    </row>
    <row r="57" spans="2:16" s="1" customFormat="1" ht="23.1" customHeight="1" x14ac:dyDescent="0.25">
      <c r="B57" s="31">
        <v>32</v>
      </c>
      <c r="C57" s="27" t="s">
        <v>46</v>
      </c>
      <c r="D57" s="64" t="s">
        <v>79</v>
      </c>
      <c r="E57" s="65"/>
      <c r="F57" s="65"/>
      <c r="G57" s="65"/>
      <c r="H57" s="65"/>
      <c r="I57" s="65"/>
      <c r="J57" s="65"/>
      <c r="K57" s="66"/>
      <c r="L57" s="27">
        <v>300</v>
      </c>
      <c r="M57" s="27" t="s">
        <v>48</v>
      </c>
      <c r="N57" s="30">
        <v>14.5</v>
      </c>
      <c r="O57" s="27" t="s">
        <v>48</v>
      </c>
      <c r="P57" s="32">
        <v>4350</v>
      </c>
    </row>
    <row r="58" spans="2:16" s="1" customFormat="1" ht="23.1" customHeight="1" x14ac:dyDescent="0.25">
      <c r="B58" s="31">
        <v>33</v>
      </c>
      <c r="C58" s="27" t="s">
        <v>46</v>
      </c>
      <c r="D58" s="64" t="s">
        <v>80</v>
      </c>
      <c r="E58" s="65"/>
      <c r="F58" s="65"/>
      <c r="G58" s="65"/>
      <c r="H58" s="65"/>
      <c r="I58" s="65"/>
      <c r="J58" s="65"/>
      <c r="K58" s="66"/>
      <c r="L58" s="27">
        <v>300</v>
      </c>
      <c r="M58" s="27" t="s">
        <v>48</v>
      </c>
      <c r="N58" s="30">
        <v>13.55</v>
      </c>
      <c r="O58" s="27" t="s">
        <v>48</v>
      </c>
      <c r="P58" s="32">
        <v>4065</v>
      </c>
    </row>
    <row r="59" spans="2:16" s="1" customFormat="1" ht="23.1" customHeight="1" x14ac:dyDescent="0.25">
      <c r="B59" s="31">
        <v>34</v>
      </c>
      <c r="C59" s="27" t="s">
        <v>46</v>
      </c>
      <c r="D59" s="64" t="s">
        <v>81</v>
      </c>
      <c r="E59" s="65"/>
      <c r="F59" s="65"/>
      <c r="G59" s="65"/>
      <c r="H59" s="65"/>
      <c r="I59" s="65"/>
      <c r="J59" s="65"/>
      <c r="K59" s="66"/>
      <c r="L59" s="27">
        <v>400</v>
      </c>
      <c r="M59" s="27" t="s">
        <v>48</v>
      </c>
      <c r="N59" s="30">
        <v>4.75</v>
      </c>
      <c r="O59" s="27" t="s">
        <v>48</v>
      </c>
      <c r="P59" s="32">
        <v>1900</v>
      </c>
    </row>
    <row r="60" spans="2:16" s="1" customFormat="1" ht="23.1" customHeight="1" x14ac:dyDescent="0.25">
      <c r="B60" s="31">
        <v>35</v>
      </c>
      <c r="C60" s="27" t="s">
        <v>46</v>
      </c>
      <c r="D60" s="64" t="s">
        <v>82</v>
      </c>
      <c r="E60" s="65"/>
      <c r="F60" s="65"/>
      <c r="G60" s="65"/>
      <c r="H60" s="65"/>
      <c r="I60" s="65"/>
      <c r="J60" s="65"/>
      <c r="K60" s="66"/>
      <c r="L60" s="27">
        <v>200</v>
      </c>
      <c r="M60" s="27" t="s">
        <v>48</v>
      </c>
      <c r="N60" s="30">
        <v>15.2</v>
      </c>
      <c r="O60" s="27" t="s">
        <v>48</v>
      </c>
      <c r="P60" s="32">
        <v>3040</v>
      </c>
    </row>
    <row r="61" spans="2:16" s="1" customFormat="1" ht="23.1" customHeight="1" x14ac:dyDescent="0.25">
      <c r="B61" s="31">
        <v>36</v>
      </c>
      <c r="C61" s="27" t="s">
        <v>46</v>
      </c>
      <c r="D61" s="64" t="s">
        <v>83</v>
      </c>
      <c r="E61" s="65"/>
      <c r="F61" s="65"/>
      <c r="G61" s="65"/>
      <c r="H61" s="65"/>
      <c r="I61" s="65"/>
      <c r="J61" s="65"/>
      <c r="K61" s="66"/>
      <c r="L61" s="27">
        <v>300</v>
      </c>
      <c r="M61" s="27" t="s">
        <v>48</v>
      </c>
      <c r="N61" s="30">
        <v>6.55</v>
      </c>
      <c r="O61" s="27" t="s">
        <v>48</v>
      </c>
      <c r="P61" s="32">
        <v>1965</v>
      </c>
    </row>
    <row r="62" spans="2:16" s="1" customFormat="1" ht="23.1" customHeight="1" x14ac:dyDescent="0.25">
      <c r="B62" s="31">
        <v>37</v>
      </c>
      <c r="C62" s="27" t="s">
        <v>46</v>
      </c>
      <c r="D62" s="64" t="s">
        <v>84</v>
      </c>
      <c r="E62" s="65"/>
      <c r="F62" s="65"/>
      <c r="G62" s="65"/>
      <c r="H62" s="65"/>
      <c r="I62" s="65"/>
      <c r="J62" s="65"/>
      <c r="K62" s="66"/>
      <c r="L62" s="27">
        <v>300</v>
      </c>
      <c r="M62" s="27" t="s">
        <v>48</v>
      </c>
      <c r="N62" s="30">
        <v>3.65</v>
      </c>
      <c r="O62" s="27" t="s">
        <v>48</v>
      </c>
      <c r="P62" s="32">
        <v>1095</v>
      </c>
    </row>
    <row r="63" spans="2:16" s="1" customFormat="1" ht="23.1" customHeight="1" x14ac:dyDescent="0.25">
      <c r="B63" s="31">
        <v>38</v>
      </c>
      <c r="C63" s="27" t="s">
        <v>46</v>
      </c>
      <c r="D63" s="64" t="s">
        <v>85</v>
      </c>
      <c r="E63" s="65"/>
      <c r="F63" s="65"/>
      <c r="G63" s="65"/>
      <c r="H63" s="65"/>
      <c r="I63" s="65"/>
      <c r="J63" s="65"/>
      <c r="K63" s="66"/>
      <c r="L63" s="27">
        <v>288</v>
      </c>
      <c r="M63" s="27" t="s">
        <v>48</v>
      </c>
      <c r="N63" s="30">
        <v>3.9</v>
      </c>
      <c r="O63" s="27" t="s">
        <v>48</v>
      </c>
      <c r="P63" s="32">
        <v>1123.2</v>
      </c>
    </row>
    <row r="64" spans="2:16" s="1" customFormat="1" ht="23.1" customHeight="1" x14ac:dyDescent="0.25">
      <c r="B64" s="31">
        <v>39</v>
      </c>
      <c r="C64" s="27" t="s">
        <v>46</v>
      </c>
      <c r="D64" s="64" t="s">
        <v>86</v>
      </c>
      <c r="E64" s="65"/>
      <c r="F64" s="65"/>
      <c r="G64" s="65"/>
      <c r="H64" s="65"/>
      <c r="I64" s="65"/>
      <c r="J64" s="65"/>
      <c r="K64" s="66"/>
      <c r="L64" s="27">
        <v>200</v>
      </c>
      <c r="M64" s="27" t="s">
        <v>48</v>
      </c>
      <c r="N64" s="30">
        <v>4.0999999999999996</v>
      </c>
      <c r="O64" s="27" t="s">
        <v>48</v>
      </c>
      <c r="P64" s="32">
        <v>819.99999999999989</v>
      </c>
    </row>
    <row r="65" spans="2:17" s="1" customFormat="1" ht="23.1" customHeight="1" x14ac:dyDescent="0.25">
      <c r="B65" s="31">
        <v>40</v>
      </c>
      <c r="C65" s="27" t="s">
        <v>46</v>
      </c>
      <c r="D65" s="64" t="s">
        <v>87</v>
      </c>
      <c r="E65" s="65"/>
      <c r="F65" s="65"/>
      <c r="G65" s="65"/>
      <c r="H65" s="65"/>
      <c r="I65" s="65"/>
      <c r="J65" s="65"/>
      <c r="K65" s="66"/>
      <c r="L65" s="27">
        <v>10000</v>
      </c>
      <c r="M65" s="27" t="s">
        <v>48</v>
      </c>
      <c r="N65" s="30">
        <v>0.125</v>
      </c>
      <c r="O65" s="27" t="s">
        <v>48</v>
      </c>
      <c r="P65" s="32">
        <v>1250</v>
      </c>
    </row>
    <row r="66" spans="2:17" s="1" customFormat="1" ht="23.1" customHeight="1" x14ac:dyDescent="0.25">
      <c r="B66" s="31">
        <v>41</v>
      </c>
      <c r="C66" s="27" t="s">
        <v>46</v>
      </c>
      <c r="D66" s="64" t="s">
        <v>88</v>
      </c>
      <c r="E66" s="65"/>
      <c r="F66" s="65"/>
      <c r="G66" s="65"/>
      <c r="H66" s="65"/>
      <c r="I66" s="65"/>
      <c r="J66" s="65"/>
      <c r="K66" s="66"/>
      <c r="L66" s="27">
        <v>1</v>
      </c>
      <c r="M66" s="27" t="s">
        <v>48</v>
      </c>
      <c r="N66" s="30">
        <v>3050</v>
      </c>
      <c r="O66" s="27" t="s">
        <v>48</v>
      </c>
      <c r="P66" s="32">
        <v>3050</v>
      </c>
    </row>
    <row r="67" spans="2:17" s="1" customFormat="1" ht="23.1" customHeight="1" x14ac:dyDescent="0.25">
      <c r="B67" s="31">
        <v>42</v>
      </c>
      <c r="C67" s="27" t="s">
        <v>46</v>
      </c>
      <c r="D67" s="64" t="s">
        <v>89</v>
      </c>
      <c r="E67" s="65"/>
      <c r="F67" s="65"/>
      <c r="G67" s="65"/>
      <c r="H67" s="65"/>
      <c r="I67" s="65"/>
      <c r="J67" s="65"/>
      <c r="K67" s="66"/>
      <c r="L67" s="27">
        <v>2</v>
      </c>
      <c r="M67" s="27" t="s">
        <v>48</v>
      </c>
      <c r="N67" s="30">
        <v>33</v>
      </c>
      <c r="O67" s="27" t="s">
        <v>48</v>
      </c>
      <c r="P67" s="32">
        <v>66</v>
      </c>
    </row>
    <row r="68" spans="2:17" s="1" customFormat="1" ht="23.1" customHeight="1" x14ac:dyDescent="0.25">
      <c r="B68" s="31">
        <v>43</v>
      </c>
      <c r="C68" s="27" t="s">
        <v>46</v>
      </c>
      <c r="D68" s="64" t="s">
        <v>90</v>
      </c>
      <c r="E68" s="65"/>
      <c r="F68" s="65"/>
      <c r="G68" s="65"/>
      <c r="H68" s="65"/>
      <c r="I68" s="65"/>
      <c r="J68" s="65"/>
      <c r="K68" s="66"/>
      <c r="L68" s="27">
        <v>400</v>
      </c>
      <c r="M68" s="27" t="s">
        <v>48</v>
      </c>
      <c r="N68" s="30">
        <v>1.3</v>
      </c>
      <c r="O68" s="27" t="s">
        <v>48</v>
      </c>
      <c r="P68" s="32">
        <v>520</v>
      </c>
    </row>
    <row r="69" spans="2:17" s="1" customFormat="1" ht="23.1" customHeight="1" x14ac:dyDescent="0.25">
      <c r="B69" s="31">
        <v>44</v>
      </c>
      <c r="C69" s="27" t="s">
        <v>46</v>
      </c>
      <c r="D69" s="64" t="s">
        <v>91</v>
      </c>
      <c r="E69" s="65"/>
      <c r="F69" s="65"/>
      <c r="G69" s="65"/>
      <c r="H69" s="65"/>
      <c r="I69" s="65"/>
      <c r="J69" s="65"/>
      <c r="K69" s="66"/>
      <c r="L69" s="27">
        <v>400</v>
      </c>
      <c r="M69" s="27" t="s">
        <v>48</v>
      </c>
      <c r="N69" s="30">
        <v>1.5</v>
      </c>
      <c r="O69" s="27" t="s">
        <v>48</v>
      </c>
      <c r="P69" s="32">
        <v>600</v>
      </c>
    </row>
    <row r="70" spans="2:17" s="1" customFormat="1" ht="23.1" customHeight="1" x14ac:dyDescent="0.25">
      <c r="B70" s="31">
        <v>45</v>
      </c>
      <c r="C70" s="27" t="s">
        <v>46</v>
      </c>
      <c r="D70" s="64" t="s">
        <v>92</v>
      </c>
      <c r="E70" s="65"/>
      <c r="F70" s="65"/>
      <c r="G70" s="65"/>
      <c r="H70" s="65"/>
      <c r="I70" s="65"/>
      <c r="J70" s="65"/>
      <c r="K70" s="66"/>
      <c r="L70" s="27">
        <v>400</v>
      </c>
      <c r="M70" s="27" t="s">
        <v>48</v>
      </c>
      <c r="N70" s="30">
        <v>1.22</v>
      </c>
      <c r="O70" s="27" t="s">
        <v>48</v>
      </c>
      <c r="P70" s="32">
        <v>488</v>
      </c>
    </row>
    <row r="71" spans="2:17" s="1" customFormat="1" ht="23.1" customHeight="1" thickBot="1" x14ac:dyDescent="0.3">
      <c r="B71" s="33">
        <v>46</v>
      </c>
      <c r="C71" s="34" t="s">
        <v>46</v>
      </c>
      <c r="D71" s="70" t="s">
        <v>93</v>
      </c>
      <c r="E71" s="71"/>
      <c r="F71" s="71"/>
      <c r="G71" s="71"/>
      <c r="H71" s="71"/>
      <c r="I71" s="71"/>
      <c r="J71" s="71"/>
      <c r="K71" s="72"/>
      <c r="L71" s="34">
        <v>600</v>
      </c>
      <c r="M71" s="34" t="s">
        <v>48</v>
      </c>
      <c r="N71" s="44">
        <v>1.22</v>
      </c>
      <c r="O71" s="34" t="s">
        <v>48</v>
      </c>
      <c r="P71" s="35">
        <v>732</v>
      </c>
    </row>
    <row r="72" spans="2:17" s="1" customFormat="1" ht="21" customHeight="1" thickBot="1" x14ac:dyDescent="0.3">
      <c r="B72" s="61" t="s">
        <v>17</v>
      </c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29">
        <f>SUM(P26:P71)</f>
        <v>66748.33</v>
      </c>
    </row>
    <row r="73" spans="2:17" s="1" customFormat="1" x14ac:dyDescent="0.25">
      <c r="P73" s="21"/>
    </row>
    <row r="74" spans="2:17" s="7" customFormat="1" ht="20.25" x14ac:dyDescent="0.25">
      <c r="B74" s="46" t="s">
        <v>21</v>
      </c>
      <c r="C74" s="46"/>
      <c r="D74" s="3"/>
      <c r="E74" s="3"/>
      <c r="F74" s="4"/>
      <c r="G74" s="4"/>
      <c r="H74" s="5"/>
      <c r="I74" s="6"/>
      <c r="P74" s="36"/>
      <c r="Q74" s="1"/>
    </row>
    <row r="75" spans="2:17" s="7" customFormat="1" ht="20.25" x14ac:dyDescent="0.25">
      <c r="B75" s="47" t="s">
        <v>22</v>
      </c>
      <c r="C75" s="46"/>
      <c r="D75" s="3"/>
      <c r="E75" s="3"/>
      <c r="F75" s="4"/>
      <c r="G75" s="8"/>
      <c r="H75" s="3"/>
      <c r="I75" s="3"/>
      <c r="Q75" s="1"/>
    </row>
    <row r="76" spans="2:17" s="7" customFormat="1" ht="20.25" x14ac:dyDescent="0.25">
      <c r="B76" s="46"/>
      <c r="C76" s="46"/>
      <c r="D76" s="3"/>
      <c r="E76" s="3"/>
      <c r="F76" s="4"/>
      <c r="G76" s="8"/>
      <c r="H76" s="3"/>
      <c r="I76" s="3"/>
      <c r="Q76" s="1"/>
    </row>
    <row r="77" spans="2:17" s="1" customFormat="1" ht="20.25" x14ac:dyDescent="0.25">
      <c r="B77" s="46" t="s">
        <v>23</v>
      </c>
      <c r="C77" s="46"/>
      <c r="D77" s="3"/>
      <c r="E77" s="5"/>
      <c r="F77" s="9"/>
      <c r="G77" s="10"/>
      <c r="H77" s="3"/>
      <c r="I77" s="3"/>
      <c r="J77" s="7"/>
      <c r="K77" s="7"/>
      <c r="L77" s="7"/>
      <c r="M77" s="7"/>
      <c r="N77" s="7"/>
      <c r="O77" s="7"/>
      <c r="P77" s="7"/>
    </row>
    <row r="78" spans="2:17" s="1" customFormat="1" ht="20.25" x14ac:dyDescent="0.25">
      <c r="B78" s="48" t="s">
        <v>24</v>
      </c>
      <c r="C78" s="49" t="s">
        <v>30</v>
      </c>
      <c r="D78" s="13"/>
      <c r="E78" s="13"/>
      <c r="F78" s="14"/>
      <c r="G78" s="8"/>
      <c r="H78" s="3"/>
      <c r="I78" s="3"/>
      <c r="J78" s="7"/>
      <c r="K78" s="7"/>
      <c r="L78" s="7"/>
      <c r="M78" s="7"/>
      <c r="N78" s="7"/>
      <c r="O78" s="7"/>
      <c r="P78" s="7"/>
    </row>
    <row r="79" spans="2:17" s="1" customFormat="1" ht="20.25" x14ac:dyDescent="0.25">
      <c r="B79" s="50"/>
      <c r="C79" s="49" t="s">
        <v>31</v>
      </c>
      <c r="D79" s="13"/>
      <c r="E79" s="13"/>
      <c r="F79" s="14"/>
      <c r="G79" s="8"/>
      <c r="H79" s="3"/>
      <c r="I79" s="3"/>
      <c r="J79" s="7"/>
      <c r="K79" s="7"/>
      <c r="L79" s="7"/>
      <c r="M79" s="7"/>
      <c r="N79" s="7"/>
      <c r="O79" s="7"/>
      <c r="P79" s="7"/>
    </row>
    <row r="80" spans="2:17" s="1" customFormat="1" ht="20.25" x14ac:dyDescent="0.25">
      <c r="B80" s="50"/>
      <c r="C80" s="46"/>
      <c r="D80" s="3"/>
      <c r="E80" s="3"/>
      <c r="F80" s="15"/>
      <c r="G80" s="8"/>
      <c r="H80" s="5"/>
      <c r="I80" s="5"/>
      <c r="J80" s="7"/>
      <c r="K80" s="7"/>
      <c r="L80" s="7"/>
      <c r="M80" s="7"/>
      <c r="N80" s="7"/>
      <c r="O80" s="7"/>
      <c r="P80" s="7"/>
    </row>
    <row r="81" spans="2:16" s="1" customFormat="1" ht="20.25" x14ac:dyDescent="0.25">
      <c r="B81" s="48" t="s">
        <v>24</v>
      </c>
      <c r="C81" s="49" t="s">
        <v>32</v>
      </c>
      <c r="D81" s="13"/>
      <c r="E81" s="13"/>
      <c r="F81" s="15"/>
      <c r="G81" s="8"/>
      <c r="H81" s="5"/>
      <c r="I81" s="5"/>
      <c r="J81" s="7"/>
      <c r="K81" s="7"/>
      <c r="L81" s="7"/>
      <c r="M81" s="7"/>
      <c r="N81" s="7"/>
      <c r="O81" s="7"/>
      <c r="P81" s="7"/>
    </row>
    <row r="82" spans="2:16" s="1" customFormat="1" ht="20.25" x14ac:dyDescent="0.25">
      <c r="B82" s="50"/>
      <c r="C82" s="49" t="s">
        <v>33</v>
      </c>
      <c r="D82" s="13"/>
      <c r="E82" s="13"/>
      <c r="F82" s="15"/>
      <c r="G82" s="8"/>
      <c r="H82" s="5"/>
      <c r="I82" s="5"/>
      <c r="J82" s="7"/>
      <c r="K82" s="7"/>
      <c r="L82" s="7"/>
      <c r="M82" s="7"/>
      <c r="N82" s="7"/>
      <c r="O82" s="7"/>
      <c r="P82" s="7"/>
    </row>
    <row r="83" spans="2:16" s="1" customFormat="1" ht="20.25" x14ac:dyDescent="0.25">
      <c r="B83" s="50"/>
      <c r="C83" s="49" t="s">
        <v>25</v>
      </c>
      <c r="D83" s="13"/>
      <c r="E83" s="13"/>
      <c r="F83" s="15"/>
      <c r="G83" s="8"/>
      <c r="H83" s="5"/>
      <c r="I83" s="5"/>
      <c r="J83" s="7"/>
      <c r="K83" s="7"/>
      <c r="L83" s="7"/>
      <c r="M83" s="7"/>
      <c r="N83" s="7"/>
      <c r="O83" s="7"/>
      <c r="P83" s="7"/>
    </row>
    <row r="84" spans="2:16" s="1" customFormat="1" ht="20.25" x14ac:dyDescent="0.25">
      <c r="B84" s="46"/>
      <c r="C84" s="49" t="s">
        <v>26</v>
      </c>
      <c r="D84" s="3"/>
      <c r="E84" s="3"/>
      <c r="F84" s="15"/>
      <c r="G84" s="8"/>
      <c r="H84" s="5"/>
      <c r="I84" s="5"/>
      <c r="J84" s="7"/>
      <c r="K84" s="7"/>
      <c r="L84" s="7"/>
      <c r="M84" s="7"/>
      <c r="N84" s="7"/>
      <c r="O84" s="7"/>
      <c r="P84" s="7"/>
    </row>
    <row r="85" spans="2:16" s="1" customFormat="1" ht="20.25" x14ac:dyDescent="0.25">
      <c r="B85" s="46"/>
      <c r="C85" s="49" t="s">
        <v>27</v>
      </c>
      <c r="D85" s="3"/>
      <c r="E85" s="3"/>
      <c r="F85" s="15"/>
      <c r="G85" s="8"/>
      <c r="H85" s="5"/>
      <c r="I85" s="5"/>
      <c r="J85" s="7"/>
      <c r="K85" s="7"/>
      <c r="L85" s="7"/>
      <c r="M85" s="7"/>
      <c r="N85" s="7"/>
      <c r="O85" s="7"/>
      <c r="P85" s="7"/>
    </row>
    <row r="86" spans="2:16" s="1" customFormat="1" ht="20.25" x14ac:dyDescent="0.25">
      <c r="B86" s="46"/>
      <c r="C86" s="46"/>
      <c r="D86" s="3"/>
      <c r="E86" s="3"/>
      <c r="F86" s="15"/>
      <c r="G86" s="8"/>
      <c r="H86" s="5"/>
      <c r="I86" s="5"/>
      <c r="J86" s="7"/>
      <c r="K86" s="7"/>
      <c r="L86" s="7"/>
      <c r="M86" s="7"/>
      <c r="N86" s="7"/>
      <c r="O86" s="7"/>
      <c r="P86" s="7"/>
    </row>
    <row r="87" spans="2:16" s="1" customFormat="1" ht="20.25" x14ac:dyDescent="0.25">
      <c r="B87" s="51" t="s">
        <v>24</v>
      </c>
      <c r="C87" s="46" t="s">
        <v>34</v>
      </c>
      <c r="D87" s="3"/>
      <c r="E87" s="3"/>
      <c r="F87" s="15"/>
      <c r="G87" s="8"/>
      <c r="H87" s="5"/>
      <c r="I87" s="5"/>
      <c r="J87" s="7"/>
      <c r="K87" s="7"/>
      <c r="L87" s="7"/>
      <c r="M87" s="7"/>
      <c r="N87" s="7"/>
      <c r="O87" s="7"/>
      <c r="P87" s="7"/>
    </row>
    <row r="88" spans="2:16" s="1" customFormat="1" ht="20.25" x14ac:dyDescent="0.25">
      <c r="B88" s="52"/>
      <c r="C88" s="49" t="s">
        <v>35</v>
      </c>
      <c r="D88" s="13"/>
      <c r="E88" s="16"/>
      <c r="F88" s="17"/>
      <c r="G88" s="12"/>
      <c r="H88" s="11"/>
      <c r="I88" s="11"/>
      <c r="J88" s="7"/>
      <c r="K88" s="7"/>
      <c r="L88" s="7"/>
      <c r="M88" s="7"/>
      <c r="N88" s="7"/>
      <c r="O88" s="7"/>
      <c r="P88" s="7"/>
    </row>
    <row r="89" spans="2:16" s="1" customFormat="1" ht="20.25" x14ac:dyDescent="0.25">
      <c r="B89" s="50"/>
      <c r="C89" s="46" t="s">
        <v>36</v>
      </c>
      <c r="D89" s="3"/>
      <c r="E89" s="18"/>
      <c r="F89" s="15"/>
      <c r="G89" s="8"/>
      <c r="H89" s="5"/>
      <c r="I89" s="5"/>
      <c r="J89" s="7"/>
      <c r="K89" s="7"/>
      <c r="L89" s="7"/>
      <c r="M89" s="7"/>
      <c r="N89" s="7"/>
      <c r="O89" s="7"/>
      <c r="P89" s="7"/>
    </row>
    <row r="90" spans="2:16" s="1" customFormat="1" x14ac:dyDescent="0.25"/>
    <row r="91" spans="2:16" s="1" customFormat="1" x14ac:dyDescent="0.25"/>
    <row r="92" spans="2:16" s="1" customFormat="1" x14ac:dyDescent="0.25"/>
    <row r="93" spans="2:16" s="1" customFormat="1" x14ac:dyDescent="0.25"/>
    <row r="94" spans="2:16" s="1" customFormat="1" x14ac:dyDescent="0.25"/>
    <row r="95" spans="2:16" s="1" customFormat="1" x14ac:dyDescent="0.25"/>
    <row r="96" spans="2:1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</sheetData>
  <mergeCells count="57">
    <mergeCell ref="D70:K70"/>
    <mergeCell ref="D71:K71"/>
    <mergeCell ref="D65:K65"/>
    <mergeCell ref="D66:K66"/>
    <mergeCell ref="D67:K67"/>
    <mergeCell ref="D68:K68"/>
    <mergeCell ref="D69:K69"/>
    <mergeCell ref="D61:K61"/>
    <mergeCell ref="D60:K60"/>
    <mergeCell ref="D62:K62"/>
    <mergeCell ref="D63:K63"/>
    <mergeCell ref="D64:K64"/>
    <mergeCell ref="D37:K37"/>
    <mergeCell ref="D47:K47"/>
    <mergeCell ref="D48:K48"/>
    <mergeCell ref="D49:K49"/>
    <mergeCell ref="D50:K50"/>
    <mergeCell ref="D41:K41"/>
    <mergeCell ref="D42:K42"/>
    <mergeCell ref="D43:K43"/>
    <mergeCell ref="D44:K44"/>
    <mergeCell ref="D45:K45"/>
    <mergeCell ref="D46:K46"/>
    <mergeCell ref="D28:K28"/>
    <mergeCell ref="D29:K29"/>
    <mergeCell ref="D30:K30"/>
    <mergeCell ref="B72:O72"/>
    <mergeCell ref="D57:K57"/>
    <mergeCell ref="D58:K58"/>
    <mergeCell ref="D59:K59"/>
    <mergeCell ref="D38:K38"/>
    <mergeCell ref="D39:K39"/>
    <mergeCell ref="D40:K40"/>
    <mergeCell ref="D31:K31"/>
    <mergeCell ref="D32:K32"/>
    <mergeCell ref="D33:K33"/>
    <mergeCell ref="D34:K34"/>
    <mergeCell ref="D35:K35"/>
    <mergeCell ref="D36:K36"/>
    <mergeCell ref="B5:P7"/>
    <mergeCell ref="C20:D20"/>
    <mergeCell ref="N18:O18"/>
    <mergeCell ref="N19:O19"/>
    <mergeCell ref="N20:O20"/>
    <mergeCell ref="N17:O17"/>
    <mergeCell ref="B8:P9"/>
    <mergeCell ref="D25:K25"/>
    <mergeCell ref="L25:M25"/>
    <mergeCell ref="N25:O25"/>
    <mergeCell ref="D26:K26"/>
    <mergeCell ref="D27:K27"/>
    <mergeCell ref="D56:K56"/>
    <mergeCell ref="D51:K51"/>
    <mergeCell ref="D52:K52"/>
    <mergeCell ref="D53:K53"/>
    <mergeCell ref="D54:K54"/>
    <mergeCell ref="D55:K55"/>
  </mergeCells>
  <hyperlinks>
    <hyperlink ref="C22" r:id="rId1" xr:uid="{93157960-28E9-4C16-A58D-E140BD99BD91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0"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7D55-F3C6-4A38-8C0D-83594C855E51}">
  <dimension ref="B1:Q247"/>
  <sheetViews>
    <sheetView topLeftCell="A14" zoomScale="70" zoomScaleNormal="70" zoomScaleSheetLayoutView="70" workbookViewId="0">
      <selection activeCell="B26" sqref="B26:P70"/>
    </sheetView>
  </sheetViews>
  <sheetFormatPr baseColWidth="10" defaultRowHeight="15" x14ac:dyDescent="0.25"/>
  <cols>
    <col min="2" max="2" width="14" customWidth="1"/>
    <col min="3" max="3" width="24.28515625" customWidth="1"/>
    <col min="4" max="4" width="8.7109375" customWidth="1"/>
    <col min="5" max="5" width="5.7109375" customWidth="1"/>
    <col min="6" max="6" width="15.7109375" customWidth="1"/>
    <col min="10" max="10" width="8.85546875" customWidth="1"/>
    <col min="11" max="11" width="9.28515625" customWidth="1"/>
    <col min="12" max="12" width="15.28515625" customWidth="1"/>
    <col min="13" max="13" width="14.85546875" customWidth="1"/>
    <col min="14" max="14" width="18.28515625" customWidth="1"/>
    <col min="15" max="15" width="11.28515625" customWidth="1"/>
    <col min="16" max="16" width="29.28515625" customWidth="1"/>
  </cols>
  <sheetData>
    <row r="1" spans="2:16" s="1" customFormat="1" x14ac:dyDescent="0.25"/>
    <row r="2" spans="2:16" s="1" customFormat="1" x14ac:dyDescent="0.25"/>
    <row r="3" spans="2:16" s="1" customFormat="1" x14ac:dyDescent="0.25"/>
    <row r="4" spans="2:16" s="1" customFormat="1" x14ac:dyDescent="0.25"/>
    <row r="5" spans="2:16" s="1" customFormat="1" ht="15" customHeight="1" x14ac:dyDescent="0.25">
      <c r="B5" s="57" t="s">
        <v>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2:16" s="1" customFormat="1" ht="15" customHeight="1" x14ac:dyDescent="0.25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2:16" s="1" customFormat="1" ht="15" customHeight="1" x14ac:dyDescent="0.25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2:16" s="1" customFormat="1" ht="15" customHeight="1" x14ac:dyDescent="0.25">
      <c r="B8" s="57" t="s">
        <v>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2:16" s="1" customFormat="1" ht="15" customHeight="1" x14ac:dyDescent="0.25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2:16" s="1" customFormat="1" x14ac:dyDescent="0.25"/>
    <row r="11" spans="2:16" s="1" customFormat="1" ht="23.25" x14ac:dyDescent="0.35">
      <c r="B11" s="28" t="s">
        <v>43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2:16" s="1" customFormat="1" ht="23.25" x14ac:dyDescent="0.35">
      <c r="B12" s="23" t="s">
        <v>42</v>
      </c>
      <c r="C12" s="23" t="s">
        <v>28</v>
      </c>
      <c r="D12" s="23"/>
      <c r="E12" s="23"/>
      <c r="F12" s="23"/>
      <c r="G12" s="23"/>
      <c r="H12" s="23"/>
      <c r="I12" s="23"/>
      <c r="J12" s="23"/>
      <c r="K12" s="23"/>
    </row>
    <row r="13" spans="2:16" s="1" customFormat="1" ht="23.25" x14ac:dyDescent="0.35">
      <c r="B13" s="23" t="s">
        <v>2</v>
      </c>
      <c r="C13" s="23" t="s">
        <v>29</v>
      </c>
      <c r="D13" s="23"/>
      <c r="E13" s="23"/>
      <c r="F13" s="23"/>
      <c r="G13" s="23"/>
      <c r="H13" s="23"/>
      <c r="I13" s="23"/>
      <c r="J13" s="23"/>
      <c r="K13" s="23"/>
    </row>
    <row r="14" spans="2:16" s="1" customFormat="1" ht="23.25" x14ac:dyDescent="0.35">
      <c r="B14" s="23" t="s">
        <v>41</v>
      </c>
      <c r="C14" s="24" t="s">
        <v>18</v>
      </c>
      <c r="D14" s="23"/>
      <c r="E14" s="23"/>
      <c r="F14" s="23"/>
      <c r="G14" s="23"/>
      <c r="H14" s="23"/>
      <c r="I14" s="23"/>
      <c r="J14" s="23"/>
      <c r="K14" s="23"/>
    </row>
    <row r="15" spans="2:16" s="1" customFormat="1" ht="23.25" x14ac:dyDescent="0.35">
      <c r="B15" s="23" t="s">
        <v>5</v>
      </c>
      <c r="C15" s="23" t="s">
        <v>37</v>
      </c>
      <c r="D15" s="23"/>
      <c r="E15" s="23"/>
      <c r="F15" s="23"/>
      <c r="G15" s="23"/>
      <c r="H15" s="23"/>
      <c r="I15" s="23"/>
      <c r="J15" s="23"/>
      <c r="K15" s="23"/>
    </row>
    <row r="16" spans="2:16" s="1" customFormat="1" ht="23.25" x14ac:dyDescent="0.35"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2:17" s="1" customFormat="1" ht="23.25" x14ac:dyDescent="0.35">
      <c r="B17" s="28" t="s">
        <v>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59" t="s">
        <v>40</v>
      </c>
      <c r="O17" s="60"/>
      <c r="P17" s="19" t="s">
        <v>45</v>
      </c>
    </row>
    <row r="18" spans="2:17" s="1" customFormat="1" ht="23.25" x14ac:dyDescent="0.35">
      <c r="B18" s="23" t="s">
        <v>42</v>
      </c>
      <c r="C18" s="23" t="s">
        <v>19</v>
      </c>
      <c r="D18" s="23"/>
      <c r="E18" s="23"/>
      <c r="F18" s="23"/>
      <c r="G18" s="23"/>
      <c r="H18" s="23"/>
      <c r="I18" s="23"/>
      <c r="J18" s="23"/>
      <c r="K18" s="23"/>
      <c r="N18" s="59" t="s">
        <v>3</v>
      </c>
      <c r="O18" s="60"/>
      <c r="P18" s="19">
        <f>+'C1'!P18+1</f>
        <v>91100141</v>
      </c>
    </row>
    <row r="19" spans="2:17" s="1" customFormat="1" ht="23.25" x14ac:dyDescent="0.35">
      <c r="B19" s="23" t="s">
        <v>2</v>
      </c>
      <c r="C19" s="23" t="s">
        <v>20</v>
      </c>
      <c r="D19" s="23"/>
      <c r="E19" s="23"/>
      <c r="F19" s="23"/>
      <c r="G19" s="23"/>
      <c r="H19" s="23"/>
      <c r="I19" s="23"/>
      <c r="J19" s="23"/>
      <c r="K19" s="23"/>
      <c r="N19" s="59" t="s">
        <v>4</v>
      </c>
      <c r="O19" s="60"/>
      <c r="P19" s="20">
        <v>45931</v>
      </c>
    </row>
    <row r="20" spans="2:17" s="1" customFormat="1" ht="23.25" x14ac:dyDescent="0.35">
      <c r="B20" s="23" t="s">
        <v>9</v>
      </c>
      <c r="C20" s="58">
        <v>20612452432</v>
      </c>
      <c r="D20" s="58"/>
      <c r="E20" s="23"/>
      <c r="F20" s="23"/>
      <c r="G20" s="23"/>
      <c r="H20" s="23"/>
      <c r="I20" s="23"/>
      <c r="J20" s="23"/>
      <c r="K20" s="23"/>
      <c r="N20" s="59" t="s">
        <v>6</v>
      </c>
      <c r="O20" s="60"/>
      <c r="P20" s="19" t="s">
        <v>7</v>
      </c>
    </row>
    <row r="21" spans="2:17" s="1" customFormat="1" ht="23.25" x14ac:dyDescent="0.35">
      <c r="B21" s="23" t="s">
        <v>10</v>
      </c>
      <c r="C21" s="25" t="s">
        <v>39</v>
      </c>
      <c r="D21" s="23"/>
      <c r="E21" s="23"/>
      <c r="F21" s="23"/>
      <c r="G21" s="23"/>
      <c r="H21" s="23"/>
      <c r="I21" s="23"/>
      <c r="J21" s="23"/>
      <c r="K21" s="23"/>
    </row>
    <row r="22" spans="2:17" s="1" customFormat="1" ht="23.25" x14ac:dyDescent="0.35">
      <c r="B22" s="23" t="s">
        <v>11</v>
      </c>
      <c r="C22" s="26" t="s">
        <v>38</v>
      </c>
      <c r="D22" s="23"/>
      <c r="E22" s="23"/>
      <c r="F22" s="23"/>
      <c r="G22" s="23"/>
      <c r="H22" s="23"/>
      <c r="I22" s="23"/>
      <c r="J22" s="23"/>
      <c r="K22" s="23"/>
    </row>
    <row r="23" spans="2:17" s="1" customFormat="1" x14ac:dyDescent="0.25"/>
    <row r="24" spans="2:17" s="1" customFormat="1" ht="21.6" customHeight="1" thickBot="1" x14ac:dyDescent="0.3"/>
    <row r="25" spans="2:17" s="1" customFormat="1" ht="24" thickBot="1" x14ac:dyDescent="0.3">
      <c r="B25" s="37" t="s">
        <v>44</v>
      </c>
      <c r="C25" s="38" t="s">
        <v>12</v>
      </c>
      <c r="D25" s="54" t="s">
        <v>13</v>
      </c>
      <c r="E25" s="55"/>
      <c r="F25" s="55"/>
      <c r="G25" s="55"/>
      <c r="H25" s="55"/>
      <c r="I25" s="55"/>
      <c r="J25" s="55"/>
      <c r="K25" s="56"/>
      <c r="L25" s="54" t="s">
        <v>14</v>
      </c>
      <c r="M25" s="56"/>
      <c r="N25" s="54" t="s">
        <v>15</v>
      </c>
      <c r="O25" s="56"/>
      <c r="P25" s="39" t="s">
        <v>16</v>
      </c>
      <c r="Q25" s="2"/>
    </row>
    <row r="26" spans="2:17" s="1" customFormat="1" ht="23.1" customHeight="1" thickBot="1" x14ac:dyDescent="0.3">
      <c r="B26" s="53">
        <v>47</v>
      </c>
      <c r="C26" s="41" t="s">
        <v>46</v>
      </c>
      <c r="D26" s="67" t="s">
        <v>94</v>
      </c>
      <c r="E26" s="68"/>
      <c r="F26" s="68"/>
      <c r="G26" s="68"/>
      <c r="H26" s="68"/>
      <c r="I26" s="68"/>
      <c r="J26" s="68"/>
      <c r="K26" s="69"/>
      <c r="L26" s="41">
        <v>400</v>
      </c>
      <c r="M26" s="41" t="s">
        <v>48</v>
      </c>
      <c r="N26" s="42">
        <v>1.5</v>
      </c>
      <c r="O26" s="41" t="s">
        <v>48</v>
      </c>
      <c r="P26" s="43">
        <v>600</v>
      </c>
    </row>
    <row r="27" spans="2:17" s="1" customFormat="1" ht="23.1" customHeight="1" x14ac:dyDescent="0.25">
      <c r="B27" s="31">
        <v>48</v>
      </c>
      <c r="C27" s="27" t="s">
        <v>46</v>
      </c>
      <c r="D27" s="64" t="s">
        <v>95</v>
      </c>
      <c r="E27" s="65"/>
      <c r="F27" s="65"/>
      <c r="G27" s="65"/>
      <c r="H27" s="65"/>
      <c r="I27" s="65"/>
      <c r="J27" s="65"/>
      <c r="K27" s="66"/>
      <c r="L27" s="27">
        <v>400</v>
      </c>
      <c r="M27" s="27" t="s">
        <v>48</v>
      </c>
      <c r="N27" s="30">
        <v>1.4</v>
      </c>
      <c r="O27" s="27" t="s">
        <v>48</v>
      </c>
      <c r="P27" s="32">
        <v>560</v>
      </c>
    </row>
    <row r="28" spans="2:17" s="1" customFormat="1" ht="23.1" customHeight="1" x14ac:dyDescent="0.25">
      <c r="B28" s="31">
        <v>49</v>
      </c>
      <c r="C28" s="27" t="s">
        <v>46</v>
      </c>
      <c r="D28" s="64" t="s">
        <v>96</v>
      </c>
      <c r="E28" s="65"/>
      <c r="F28" s="65"/>
      <c r="G28" s="65"/>
      <c r="H28" s="65"/>
      <c r="I28" s="65"/>
      <c r="J28" s="65"/>
      <c r="K28" s="66"/>
      <c r="L28" s="27">
        <v>400</v>
      </c>
      <c r="M28" s="27" t="s">
        <v>48</v>
      </c>
      <c r="N28" s="30">
        <v>1.3</v>
      </c>
      <c r="O28" s="27" t="s">
        <v>48</v>
      </c>
      <c r="P28" s="32">
        <v>520</v>
      </c>
    </row>
    <row r="29" spans="2:17" s="1" customFormat="1" ht="23.1" customHeight="1" x14ac:dyDescent="0.25">
      <c r="B29" s="31">
        <v>50</v>
      </c>
      <c r="C29" s="27" t="s">
        <v>46</v>
      </c>
      <c r="D29" s="64" t="s">
        <v>97</v>
      </c>
      <c r="E29" s="65"/>
      <c r="F29" s="65"/>
      <c r="G29" s="65"/>
      <c r="H29" s="65"/>
      <c r="I29" s="65"/>
      <c r="J29" s="65"/>
      <c r="K29" s="66"/>
      <c r="L29" s="27">
        <v>900</v>
      </c>
      <c r="M29" s="27" t="s">
        <v>48</v>
      </c>
      <c r="N29" s="30">
        <v>1.1933333333333334</v>
      </c>
      <c r="O29" s="27" t="s">
        <v>48</v>
      </c>
      <c r="P29" s="32">
        <v>1074</v>
      </c>
    </row>
    <row r="30" spans="2:17" s="1" customFormat="1" ht="23.1" customHeight="1" x14ac:dyDescent="0.25">
      <c r="B30" s="31">
        <v>51</v>
      </c>
      <c r="C30" s="27" t="s">
        <v>46</v>
      </c>
      <c r="D30" s="64" t="s">
        <v>98</v>
      </c>
      <c r="E30" s="65"/>
      <c r="F30" s="65"/>
      <c r="G30" s="65"/>
      <c r="H30" s="65"/>
      <c r="I30" s="65"/>
      <c r="J30" s="65"/>
      <c r="K30" s="66"/>
      <c r="L30" s="27">
        <v>200</v>
      </c>
      <c r="M30" s="27" t="s">
        <v>48</v>
      </c>
      <c r="N30" s="30">
        <v>2</v>
      </c>
      <c r="O30" s="27" t="s">
        <v>48</v>
      </c>
      <c r="P30" s="32">
        <v>400</v>
      </c>
    </row>
    <row r="31" spans="2:17" s="1" customFormat="1" ht="23.1" customHeight="1" x14ac:dyDescent="0.25">
      <c r="B31" s="31">
        <v>52</v>
      </c>
      <c r="C31" s="27" t="s">
        <v>46</v>
      </c>
      <c r="D31" s="64" t="s">
        <v>99</v>
      </c>
      <c r="E31" s="65"/>
      <c r="F31" s="65"/>
      <c r="G31" s="65"/>
      <c r="H31" s="65"/>
      <c r="I31" s="65"/>
      <c r="J31" s="65"/>
      <c r="K31" s="66"/>
      <c r="L31" s="27">
        <v>210</v>
      </c>
      <c r="M31" s="27" t="s">
        <v>48</v>
      </c>
      <c r="N31" s="30">
        <v>10.5</v>
      </c>
      <c r="O31" s="27" t="s">
        <v>48</v>
      </c>
      <c r="P31" s="32">
        <v>2205</v>
      </c>
    </row>
    <row r="32" spans="2:17" s="1" customFormat="1" ht="23.1" customHeight="1" x14ac:dyDescent="0.25">
      <c r="B32" s="31">
        <v>53</v>
      </c>
      <c r="C32" s="27" t="s">
        <v>46</v>
      </c>
      <c r="D32" s="64" t="s">
        <v>100</v>
      </c>
      <c r="E32" s="65"/>
      <c r="F32" s="65"/>
      <c r="G32" s="65"/>
      <c r="H32" s="65"/>
      <c r="I32" s="65"/>
      <c r="J32" s="65"/>
      <c r="K32" s="66"/>
      <c r="L32" s="27">
        <v>1</v>
      </c>
      <c r="M32" s="27" t="s">
        <v>48</v>
      </c>
      <c r="N32" s="30">
        <v>415</v>
      </c>
      <c r="O32" s="27" t="s">
        <v>48</v>
      </c>
      <c r="P32" s="32">
        <v>415</v>
      </c>
    </row>
    <row r="33" spans="2:16" s="1" customFormat="1" ht="23.1" customHeight="1" x14ac:dyDescent="0.25">
      <c r="B33" s="31">
        <v>54</v>
      </c>
      <c r="C33" s="27" t="s">
        <v>46</v>
      </c>
      <c r="D33" s="64" t="s">
        <v>101</v>
      </c>
      <c r="E33" s="65"/>
      <c r="F33" s="65"/>
      <c r="G33" s="65"/>
      <c r="H33" s="65"/>
      <c r="I33" s="65"/>
      <c r="J33" s="65"/>
      <c r="K33" s="66"/>
      <c r="L33" s="27">
        <v>2</v>
      </c>
      <c r="M33" s="27" t="s">
        <v>48</v>
      </c>
      <c r="N33" s="30">
        <v>64.5</v>
      </c>
      <c r="O33" s="27" t="s">
        <v>48</v>
      </c>
      <c r="P33" s="32">
        <v>129</v>
      </c>
    </row>
    <row r="34" spans="2:16" s="1" customFormat="1" ht="23.1" customHeight="1" x14ac:dyDescent="0.25">
      <c r="B34" s="31">
        <v>55</v>
      </c>
      <c r="C34" s="27" t="s">
        <v>46</v>
      </c>
      <c r="D34" s="64" t="s">
        <v>102</v>
      </c>
      <c r="E34" s="65"/>
      <c r="F34" s="65"/>
      <c r="G34" s="65"/>
      <c r="H34" s="65"/>
      <c r="I34" s="65"/>
      <c r="J34" s="65"/>
      <c r="K34" s="66"/>
      <c r="L34" s="27">
        <v>2</v>
      </c>
      <c r="M34" s="27" t="s">
        <v>48</v>
      </c>
      <c r="N34" s="30">
        <v>105.5</v>
      </c>
      <c r="O34" s="27" t="s">
        <v>48</v>
      </c>
      <c r="P34" s="32">
        <v>211</v>
      </c>
    </row>
    <row r="35" spans="2:16" s="1" customFormat="1" ht="23.1" customHeight="1" x14ac:dyDescent="0.25">
      <c r="B35" s="31">
        <v>56</v>
      </c>
      <c r="C35" s="27" t="s">
        <v>46</v>
      </c>
      <c r="D35" s="64" t="s">
        <v>103</v>
      </c>
      <c r="E35" s="65"/>
      <c r="F35" s="65"/>
      <c r="G35" s="65"/>
      <c r="H35" s="65"/>
      <c r="I35" s="65"/>
      <c r="J35" s="65"/>
      <c r="K35" s="66"/>
      <c r="L35" s="27">
        <v>1</v>
      </c>
      <c r="M35" s="27" t="s">
        <v>48</v>
      </c>
      <c r="N35" s="30">
        <v>272</v>
      </c>
      <c r="O35" s="27" t="s">
        <v>48</v>
      </c>
      <c r="P35" s="32">
        <v>272</v>
      </c>
    </row>
    <row r="36" spans="2:16" s="1" customFormat="1" ht="23.1" customHeight="1" x14ac:dyDescent="0.25">
      <c r="B36" s="31">
        <v>57</v>
      </c>
      <c r="C36" s="27" t="s">
        <v>46</v>
      </c>
      <c r="D36" s="64" t="s">
        <v>104</v>
      </c>
      <c r="E36" s="65"/>
      <c r="F36" s="65"/>
      <c r="G36" s="65"/>
      <c r="H36" s="65"/>
      <c r="I36" s="65"/>
      <c r="J36" s="65"/>
      <c r="K36" s="66"/>
      <c r="L36" s="27">
        <v>50</v>
      </c>
      <c r="M36" s="27" t="s">
        <v>48</v>
      </c>
      <c r="N36" s="30">
        <v>2.2000000000000002</v>
      </c>
      <c r="O36" s="27" t="s">
        <v>48</v>
      </c>
      <c r="P36" s="32">
        <v>110.00000000000001</v>
      </c>
    </row>
    <row r="37" spans="2:16" s="1" customFormat="1" ht="23.1" customHeight="1" x14ac:dyDescent="0.25">
      <c r="B37" s="31">
        <v>58</v>
      </c>
      <c r="C37" s="27" t="s">
        <v>46</v>
      </c>
      <c r="D37" s="64" t="s">
        <v>105</v>
      </c>
      <c r="E37" s="65"/>
      <c r="F37" s="65"/>
      <c r="G37" s="65"/>
      <c r="H37" s="65"/>
      <c r="I37" s="65"/>
      <c r="J37" s="65"/>
      <c r="K37" s="66"/>
      <c r="L37" s="27">
        <v>360</v>
      </c>
      <c r="M37" s="27" t="s">
        <v>48</v>
      </c>
      <c r="N37" s="30">
        <v>1.5</v>
      </c>
      <c r="O37" s="27" t="s">
        <v>48</v>
      </c>
      <c r="P37" s="32">
        <v>540</v>
      </c>
    </row>
    <row r="38" spans="2:16" s="1" customFormat="1" ht="23.1" customHeight="1" x14ac:dyDescent="0.25">
      <c r="B38" s="31">
        <v>59</v>
      </c>
      <c r="C38" s="27" t="s">
        <v>46</v>
      </c>
      <c r="D38" s="64" t="s">
        <v>106</v>
      </c>
      <c r="E38" s="65"/>
      <c r="F38" s="65"/>
      <c r="G38" s="65"/>
      <c r="H38" s="65"/>
      <c r="I38" s="65"/>
      <c r="J38" s="65"/>
      <c r="K38" s="66"/>
      <c r="L38" s="27">
        <v>50</v>
      </c>
      <c r="M38" s="27" t="s">
        <v>48</v>
      </c>
      <c r="N38" s="30">
        <v>9.5</v>
      </c>
      <c r="O38" s="27" t="s">
        <v>48</v>
      </c>
      <c r="P38" s="32">
        <v>475</v>
      </c>
    </row>
    <row r="39" spans="2:16" s="1" customFormat="1" ht="23.1" customHeight="1" x14ac:dyDescent="0.25">
      <c r="B39" s="31">
        <v>60</v>
      </c>
      <c r="C39" s="27" t="s">
        <v>46</v>
      </c>
      <c r="D39" s="64" t="s">
        <v>107</v>
      </c>
      <c r="E39" s="65"/>
      <c r="F39" s="65"/>
      <c r="G39" s="65"/>
      <c r="H39" s="65"/>
      <c r="I39" s="65"/>
      <c r="J39" s="65"/>
      <c r="K39" s="66"/>
      <c r="L39" s="27">
        <v>1500</v>
      </c>
      <c r="M39" s="27" t="s">
        <v>48</v>
      </c>
      <c r="N39" s="30">
        <v>0.37666666666666665</v>
      </c>
      <c r="O39" s="27" t="s">
        <v>48</v>
      </c>
      <c r="P39" s="32">
        <v>565</v>
      </c>
    </row>
    <row r="40" spans="2:16" s="1" customFormat="1" ht="22.5" customHeight="1" x14ac:dyDescent="0.25">
      <c r="B40" s="31">
        <v>61</v>
      </c>
      <c r="C40" s="27" t="s">
        <v>46</v>
      </c>
      <c r="D40" s="64" t="s">
        <v>108</v>
      </c>
      <c r="E40" s="65"/>
      <c r="F40" s="65"/>
      <c r="G40" s="65"/>
      <c r="H40" s="65"/>
      <c r="I40" s="65"/>
      <c r="J40" s="65"/>
      <c r="K40" s="66"/>
      <c r="L40" s="27">
        <v>500</v>
      </c>
      <c r="M40" s="27" t="s">
        <v>48</v>
      </c>
      <c r="N40" s="30">
        <v>0.15</v>
      </c>
      <c r="O40" s="27" t="s">
        <v>48</v>
      </c>
      <c r="P40" s="32">
        <v>75</v>
      </c>
    </row>
    <row r="41" spans="2:16" s="1" customFormat="1" ht="23.1" customHeight="1" x14ac:dyDescent="0.25">
      <c r="B41" s="31">
        <v>62</v>
      </c>
      <c r="C41" s="27" t="s">
        <v>46</v>
      </c>
      <c r="D41" s="64" t="s">
        <v>109</v>
      </c>
      <c r="E41" s="65"/>
      <c r="F41" s="65"/>
      <c r="G41" s="65"/>
      <c r="H41" s="65"/>
      <c r="I41" s="65"/>
      <c r="J41" s="65"/>
      <c r="K41" s="66"/>
      <c r="L41" s="27">
        <v>500</v>
      </c>
      <c r="M41" s="27" t="s">
        <v>48</v>
      </c>
      <c r="N41" s="30">
        <v>0.7</v>
      </c>
      <c r="O41" s="27" t="s">
        <v>48</v>
      </c>
      <c r="P41" s="32">
        <v>350</v>
      </c>
    </row>
    <row r="42" spans="2:16" s="1" customFormat="1" ht="23.1" customHeight="1" x14ac:dyDescent="0.25">
      <c r="B42" s="31">
        <v>63</v>
      </c>
      <c r="C42" s="27" t="s">
        <v>46</v>
      </c>
      <c r="D42" s="64" t="s">
        <v>110</v>
      </c>
      <c r="E42" s="65"/>
      <c r="F42" s="65"/>
      <c r="G42" s="65"/>
      <c r="H42" s="65"/>
      <c r="I42" s="65"/>
      <c r="J42" s="65"/>
      <c r="K42" s="66"/>
      <c r="L42" s="27">
        <v>50</v>
      </c>
      <c r="M42" s="27" t="s">
        <v>48</v>
      </c>
      <c r="N42" s="30">
        <v>4</v>
      </c>
      <c r="O42" s="27" t="s">
        <v>48</v>
      </c>
      <c r="P42" s="32">
        <v>200</v>
      </c>
    </row>
    <row r="43" spans="2:16" s="1" customFormat="1" ht="23.1" customHeight="1" x14ac:dyDescent="0.25">
      <c r="B43" s="31">
        <v>64</v>
      </c>
      <c r="C43" s="27" t="s">
        <v>46</v>
      </c>
      <c r="D43" s="64" t="s">
        <v>111</v>
      </c>
      <c r="E43" s="65"/>
      <c r="F43" s="65"/>
      <c r="G43" s="65"/>
      <c r="H43" s="65"/>
      <c r="I43" s="65"/>
      <c r="J43" s="65"/>
      <c r="K43" s="66"/>
      <c r="L43" s="27">
        <v>4000</v>
      </c>
      <c r="M43" s="27" t="s">
        <v>48</v>
      </c>
      <c r="N43" s="30">
        <v>0.17037593984962501</v>
      </c>
      <c r="O43" s="27" t="s">
        <v>48</v>
      </c>
      <c r="P43" s="32">
        <v>681.50375939850005</v>
      </c>
    </row>
    <row r="44" spans="2:16" s="1" customFormat="1" ht="23.1" customHeight="1" x14ac:dyDescent="0.25">
      <c r="B44" s="31">
        <v>65</v>
      </c>
      <c r="C44" s="27" t="s">
        <v>46</v>
      </c>
      <c r="D44" s="64" t="s">
        <v>112</v>
      </c>
      <c r="E44" s="65"/>
      <c r="F44" s="65"/>
      <c r="G44" s="65"/>
      <c r="H44" s="65"/>
      <c r="I44" s="65"/>
      <c r="J44" s="65"/>
      <c r="K44" s="66"/>
      <c r="L44" s="27">
        <v>5</v>
      </c>
      <c r="M44" s="27" t="s">
        <v>48</v>
      </c>
      <c r="N44" s="30">
        <v>321.39999999999998</v>
      </c>
      <c r="O44" s="27" t="s">
        <v>48</v>
      </c>
      <c r="P44" s="32">
        <v>1607</v>
      </c>
    </row>
    <row r="45" spans="2:16" s="1" customFormat="1" ht="23.1" customHeight="1" x14ac:dyDescent="0.25">
      <c r="B45" s="31">
        <v>66</v>
      </c>
      <c r="C45" s="27" t="s">
        <v>46</v>
      </c>
      <c r="D45" s="64" t="s">
        <v>113</v>
      </c>
      <c r="E45" s="65"/>
      <c r="F45" s="65"/>
      <c r="G45" s="65"/>
      <c r="H45" s="65"/>
      <c r="I45" s="65"/>
      <c r="J45" s="65"/>
      <c r="K45" s="66"/>
      <c r="L45" s="27">
        <v>5</v>
      </c>
      <c r="M45" s="27" t="s">
        <v>48</v>
      </c>
      <c r="N45" s="30">
        <v>378</v>
      </c>
      <c r="O45" s="27" t="s">
        <v>48</v>
      </c>
      <c r="P45" s="32">
        <v>1890</v>
      </c>
    </row>
    <row r="46" spans="2:16" s="1" customFormat="1" ht="23.1" customHeight="1" x14ac:dyDescent="0.25">
      <c r="B46" s="31">
        <v>67</v>
      </c>
      <c r="C46" s="27" t="s">
        <v>46</v>
      </c>
      <c r="D46" s="64" t="s">
        <v>114</v>
      </c>
      <c r="E46" s="65"/>
      <c r="F46" s="65"/>
      <c r="G46" s="65"/>
      <c r="H46" s="65"/>
      <c r="I46" s="65"/>
      <c r="J46" s="65"/>
      <c r="K46" s="66"/>
      <c r="L46" s="27">
        <v>3</v>
      </c>
      <c r="M46" s="27" t="s">
        <v>48</v>
      </c>
      <c r="N46" s="30">
        <v>426.66666666666669</v>
      </c>
      <c r="O46" s="27" t="s">
        <v>48</v>
      </c>
      <c r="P46" s="32">
        <v>1280</v>
      </c>
    </row>
    <row r="47" spans="2:16" s="1" customFormat="1" ht="23.1" customHeight="1" x14ac:dyDescent="0.25">
      <c r="B47" s="31">
        <v>68</v>
      </c>
      <c r="C47" s="27" t="s">
        <v>46</v>
      </c>
      <c r="D47" s="64" t="s">
        <v>115</v>
      </c>
      <c r="E47" s="65"/>
      <c r="F47" s="65"/>
      <c r="G47" s="65"/>
      <c r="H47" s="65"/>
      <c r="I47" s="65"/>
      <c r="J47" s="65"/>
      <c r="K47" s="66"/>
      <c r="L47" s="27">
        <v>150</v>
      </c>
      <c r="M47" s="27" t="s">
        <v>48</v>
      </c>
      <c r="N47" s="30">
        <v>1.59</v>
      </c>
      <c r="O47" s="27" t="s">
        <v>48</v>
      </c>
      <c r="P47" s="32">
        <v>238.5</v>
      </c>
    </row>
    <row r="48" spans="2:16" s="1" customFormat="1" ht="23.1" customHeight="1" x14ac:dyDescent="0.25">
      <c r="B48" s="31">
        <v>69</v>
      </c>
      <c r="C48" s="27" t="s">
        <v>46</v>
      </c>
      <c r="D48" s="64" t="s">
        <v>116</v>
      </c>
      <c r="E48" s="65"/>
      <c r="F48" s="65"/>
      <c r="G48" s="65"/>
      <c r="H48" s="65"/>
      <c r="I48" s="65"/>
      <c r="J48" s="65"/>
      <c r="K48" s="66"/>
      <c r="L48" s="27">
        <v>75</v>
      </c>
      <c r="M48" s="27" t="s">
        <v>48</v>
      </c>
      <c r="N48" s="30">
        <v>1</v>
      </c>
      <c r="O48" s="27" t="s">
        <v>48</v>
      </c>
      <c r="P48" s="32">
        <v>75</v>
      </c>
    </row>
    <row r="49" spans="2:16" s="1" customFormat="1" ht="23.1" customHeight="1" x14ac:dyDescent="0.25">
      <c r="B49" s="31">
        <v>70</v>
      </c>
      <c r="C49" s="27" t="s">
        <v>46</v>
      </c>
      <c r="D49" s="64" t="s">
        <v>117</v>
      </c>
      <c r="E49" s="65"/>
      <c r="F49" s="65"/>
      <c r="G49" s="65"/>
      <c r="H49" s="65"/>
      <c r="I49" s="65"/>
      <c r="J49" s="65"/>
      <c r="K49" s="66"/>
      <c r="L49" s="27">
        <v>100</v>
      </c>
      <c r="M49" s="27" t="s">
        <v>48</v>
      </c>
      <c r="N49" s="30">
        <v>0.8</v>
      </c>
      <c r="O49" s="27" t="s">
        <v>48</v>
      </c>
      <c r="P49" s="32">
        <v>80</v>
      </c>
    </row>
    <row r="50" spans="2:16" s="1" customFormat="1" ht="23.1" customHeight="1" x14ac:dyDescent="0.25">
      <c r="B50" s="31">
        <v>71</v>
      </c>
      <c r="C50" s="27" t="s">
        <v>46</v>
      </c>
      <c r="D50" s="64" t="s">
        <v>118</v>
      </c>
      <c r="E50" s="65"/>
      <c r="F50" s="65"/>
      <c r="G50" s="65"/>
      <c r="H50" s="65"/>
      <c r="I50" s="65"/>
      <c r="J50" s="65"/>
      <c r="K50" s="66"/>
      <c r="L50" s="27">
        <v>100</v>
      </c>
      <c r="M50" s="27" t="s">
        <v>48</v>
      </c>
      <c r="N50" s="30">
        <v>2.6</v>
      </c>
      <c r="O50" s="27" t="s">
        <v>48</v>
      </c>
      <c r="P50" s="32">
        <v>260</v>
      </c>
    </row>
    <row r="51" spans="2:16" s="1" customFormat="1" ht="23.1" customHeight="1" x14ac:dyDescent="0.25">
      <c r="B51" s="31">
        <v>72</v>
      </c>
      <c r="C51" s="27" t="s">
        <v>46</v>
      </c>
      <c r="D51" s="64" t="s">
        <v>119</v>
      </c>
      <c r="E51" s="65"/>
      <c r="F51" s="65"/>
      <c r="G51" s="65"/>
      <c r="H51" s="65"/>
      <c r="I51" s="65"/>
      <c r="J51" s="65"/>
      <c r="K51" s="66"/>
      <c r="L51" s="27">
        <v>250</v>
      </c>
      <c r="M51" s="27" t="s">
        <v>48</v>
      </c>
      <c r="N51" s="30">
        <v>2.9</v>
      </c>
      <c r="O51" s="27" t="s">
        <v>48</v>
      </c>
      <c r="P51" s="32">
        <v>725</v>
      </c>
    </row>
    <row r="52" spans="2:16" s="1" customFormat="1" ht="23.1" customHeight="1" x14ac:dyDescent="0.25">
      <c r="B52" s="31">
        <v>73</v>
      </c>
      <c r="C52" s="27" t="s">
        <v>46</v>
      </c>
      <c r="D52" s="64" t="s">
        <v>120</v>
      </c>
      <c r="E52" s="65"/>
      <c r="F52" s="65"/>
      <c r="G52" s="65"/>
      <c r="H52" s="65"/>
      <c r="I52" s="65"/>
      <c r="J52" s="65"/>
      <c r="K52" s="66"/>
      <c r="L52" s="27">
        <v>400</v>
      </c>
      <c r="M52" s="27" t="s">
        <v>48</v>
      </c>
      <c r="N52" s="30">
        <v>1.2124999999999999</v>
      </c>
      <c r="O52" s="27" t="s">
        <v>48</v>
      </c>
      <c r="P52" s="32">
        <v>484.99999999999994</v>
      </c>
    </row>
    <row r="53" spans="2:16" s="1" customFormat="1" ht="23.1" customHeight="1" x14ac:dyDescent="0.25">
      <c r="B53" s="31">
        <v>74</v>
      </c>
      <c r="C53" s="27" t="s">
        <v>46</v>
      </c>
      <c r="D53" s="64" t="s">
        <v>121</v>
      </c>
      <c r="E53" s="65"/>
      <c r="F53" s="65"/>
      <c r="G53" s="65"/>
      <c r="H53" s="65"/>
      <c r="I53" s="65"/>
      <c r="J53" s="65"/>
      <c r="K53" s="66"/>
      <c r="L53" s="27">
        <v>140</v>
      </c>
      <c r="M53" s="27" t="s">
        <v>48</v>
      </c>
      <c r="N53" s="30">
        <v>1.7</v>
      </c>
      <c r="O53" s="27" t="s">
        <v>48</v>
      </c>
      <c r="P53" s="32">
        <v>238</v>
      </c>
    </row>
    <row r="54" spans="2:16" s="1" customFormat="1" ht="23.1" customHeight="1" x14ac:dyDescent="0.25">
      <c r="B54" s="31">
        <v>75</v>
      </c>
      <c r="C54" s="27" t="s">
        <v>46</v>
      </c>
      <c r="D54" s="64" t="s">
        <v>122</v>
      </c>
      <c r="E54" s="65"/>
      <c r="F54" s="65"/>
      <c r="G54" s="65"/>
      <c r="H54" s="65"/>
      <c r="I54" s="65"/>
      <c r="J54" s="65"/>
      <c r="K54" s="66"/>
      <c r="L54" s="27">
        <v>5</v>
      </c>
      <c r="M54" s="27" t="s">
        <v>48</v>
      </c>
      <c r="N54" s="30">
        <v>128</v>
      </c>
      <c r="O54" s="27" t="s">
        <v>48</v>
      </c>
      <c r="P54" s="32">
        <v>640</v>
      </c>
    </row>
    <row r="55" spans="2:16" s="1" customFormat="1" ht="23.1" customHeight="1" x14ac:dyDescent="0.25">
      <c r="B55" s="31">
        <v>76</v>
      </c>
      <c r="C55" s="27" t="s">
        <v>46</v>
      </c>
      <c r="D55" s="64" t="s">
        <v>123</v>
      </c>
      <c r="E55" s="65"/>
      <c r="F55" s="65"/>
      <c r="G55" s="65"/>
      <c r="H55" s="65"/>
      <c r="I55" s="65"/>
      <c r="J55" s="65"/>
      <c r="K55" s="66"/>
      <c r="L55" s="27">
        <v>4</v>
      </c>
      <c r="M55" s="27" t="s">
        <v>48</v>
      </c>
      <c r="N55" s="30">
        <v>68</v>
      </c>
      <c r="O55" s="27" t="s">
        <v>48</v>
      </c>
      <c r="P55" s="32">
        <v>272</v>
      </c>
    </row>
    <row r="56" spans="2:16" s="1" customFormat="1" ht="23.1" customHeight="1" x14ac:dyDescent="0.25">
      <c r="B56" s="31">
        <v>77</v>
      </c>
      <c r="C56" s="27" t="s">
        <v>46</v>
      </c>
      <c r="D56" s="64" t="s">
        <v>124</v>
      </c>
      <c r="E56" s="65"/>
      <c r="F56" s="65"/>
      <c r="G56" s="65"/>
      <c r="H56" s="65"/>
      <c r="I56" s="65"/>
      <c r="J56" s="65"/>
      <c r="K56" s="66"/>
      <c r="L56" s="27">
        <v>1</v>
      </c>
      <c r="M56" s="27" t="s">
        <v>48</v>
      </c>
      <c r="N56" s="30">
        <v>2093</v>
      </c>
      <c r="O56" s="27" t="s">
        <v>48</v>
      </c>
      <c r="P56" s="32">
        <v>2093</v>
      </c>
    </row>
    <row r="57" spans="2:16" s="1" customFormat="1" ht="23.1" customHeight="1" x14ac:dyDescent="0.25">
      <c r="B57" s="31">
        <v>78</v>
      </c>
      <c r="C57" s="27" t="s">
        <v>46</v>
      </c>
      <c r="D57" s="64" t="s">
        <v>125</v>
      </c>
      <c r="E57" s="65"/>
      <c r="F57" s="65"/>
      <c r="G57" s="65"/>
      <c r="H57" s="65"/>
      <c r="I57" s="65"/>
      <c r="J57" s="65"/>
      <c r="K57" s="66"/>
      <c r="L57" s="27">
        <v>100</v>
      </c>
      <c r="M57" s="27" t="s">
        <v>48</v>
      </c>
      <c r="N57" s="30">
        <v>1.7</v>
      </c>
      <c r="O57" s="27" t="s">
        <v>48</v>
      </c>
      <c r="P57" s="32">
        <v>170</v>
      </c>
    </row>
    <row r="58" spans="2:16" s="1" customFormat="1" ht="23.1" customHeight="1" x14ac:dyDescent="0.25">
      <c r="B58" s="31">
        <v>79</v>
      </c>
      <c r="C58" s="27" t="s">
        <v>46</v>
      </c>
      <c r="D58" s="64" t="s">
        <v>126</v>
      </c>
      <c r="E58" s="65"/>
      <c r="F58" s="65"/>
      <c r="G58" s="65"/>
      <c r="H58" s="65"/>
      <c r="I58" s="65"/>
      <c r="J58" s="65"/>
      <c r="K58" s="66"/>
      <c r="L58" s="27">
        <v>50</v>
      </c>
      <c r="M58" s="27" t="s">
        <v>48</v>
      </c>
      <c r="N58" s="30">
        <v>5.5</v>
      </c>
      <c r="O58" s="27" t="s">
        <v>48</v>
      </c>
      <c r="P58" s="32">
        <v>275</v>
      </c>
    </row>
    <row r="59" spans="2:16" s="1" customFormat="1" ht="23.1" customHeight="1" x14ac:dyDescent="0.25">
      <c r="B59" s="31">
        <v>80</v>
      </c>
      <c r="C59" s="27" t="s">
        <v>46</v>
      </c>
      <c r="D59" s="64" t="s">
        <v>127</v>
      </c>
      <c r="E59" s="65"/>
      <c r="F59" s="65"/>
      <c r="G59" s="65"/>
      <c r="H59" s="65"/>
      <c r="I59" s="65"/>
      <c r="J59" s="65"/>
      <c r="K59" s="66"/>
      <c r="L59" s="27">
        <v>100</v>
      </c>
      <c r="M59" s="27" t="s">
        <v>48</v>
      </c>
      <c r="N59" s="30">
        <v>1.23</v>
      </c>
      <c r="O59" s="27" t="s">
        <v>48</v>
      </c>
      <c r="P59" s="32">
        <v>123</v>
      </c>
    </row>
    <row r="60" spans="2:16" s="1" customFormat="1" ht="23.1" customHeight="1" x14ac:dyDescent="0.25">
      <c r="B60" s="31">
        <v>81</v>
      </c>
      <c r="C60" s="27" t="s">
        <v>46</v>
      </c>
      <c r="D60" s="64" t="s">
        <v>128</v>
      </c>
      <c r="E60" s="65"/>
      <c r="F60" s="65"/>
      <c r="G60" s="65"/>
      <c r="H60" s="65"/>
      <c r="I60" s="65"/>
      <c r="J60" s="65"/>
      <c r="K60" s="66"/>
      <c r="L60" s="27">
        <v>100</v>
      </c>
      <c r="M60" s="27" t="s">
        <v>48</v>
      </c>
      <c r="N60" s="30">
        <v>2.2999999999999998</v>
      </c>
      <c r="O60" s="27" t="s">
        <v>48</v>
      </c>
      <c r="P60" s="32">
        <v>229.99999999999997</v>
      </c>
    </row>
    <row r="61" spans="2:16" s="1" customFormat="1" ht="23.1" customHeight="1" x14ac:dyDescent="0.25">
      <c r="B61" s="31">
        <v>82</v>
      </c>
      <c r="C61" s="27" t="s">
        <v>46</v>
      </c>
      <c r="D61" s="64" t="s">
        <v>129</v>
      </c>
      <c r="E61" s="65"/>
      <c r="F61" s="65"/>
      <c r="G61" s="65"/>
      <c r="H61" s="65"/>
      <c r="I61" s="65"/>
      <c r="J61" s="65"/>
      <c r="K61" s="66"/>
      <c r="L61" s="27">
        <v>10</v>
      </c>
      <c r="M61" s="27" t="s">
        <v>48</v>
      </c>
      <c r="N61" s="30">
        <v>12.5</v>
      </c>
      <c r="O61" s="27" t="s">
        <v>48</v>
      </c>
      <c r="P61" s="32">
        <v>125</v>
      </c>
    </row>
    <row r="62" spans="2:16" s="1" customFormat="1" ht="23.1" customHeight="1" x14ac:dyDescent="0.25">
      <c r="B62" s="31">
        <v>83</v>
      </c>
      <c r="C62" s="27" t="s">
        <v>46</v>
      </c>
      <c r="D62" s="64" t="s">
        <v>130</v>
      </c>
      <c r="E62" s="65"/>
      <c r="F62" s="65"/>
      <c r="G62" s="65"/>
      <c r="H62" s="65"/>
      <c r="I62" s="65"/>
      <c r="J62" s="65"/>
      <c r="K62" s="66"/>
      <c r="L62" s="27">
        <v>1</v>
      </c>
      <c r="M62" s="27" t="s">
        <v>48</v>
      </c>
      <c r="N62" s="30">
        <v>400</v>
      </c>
      <c r="O62" s="27" t="s">
        <v>48</v>
      </c>
      <c r="P62" s="32">
        <v>400</v>
      </c>
    </row>
    <row r="63" spans="2:16" s="1" customFormat="1" ht="23.1" customHeight="1" x14ac:dyDescent="0.25">
      <c r="B63" s="31">
        <v>84</v>
      </c>
      <c r="C63" s="27" t="s">
        <v>46</v>
      </c>
      <c r="D63" s="64" t="s">
        <v>131</v>
      </c>
      <c r="E63" s="65"/>
      <c r="F63" s="65"/>
      <c r="G63" s="65"/>
      <c r="H63" s="65"/>
      <c r="I63" s="65"/>
      <c r="J63" s="65"/>
      <c r="K63" s="66"/>
      <c r="L63" s="27">
        <v>1</v>
      </c>
      <c r="M63" s="27" t="s">
        <v>48</v>
      </c>
      <c r="N63" s="30">
        <v>470</v>
      </c>
      <c r="O63" s="27" t="s">
        <v>48</v>
      </c>
      <c r="P63" s="32">
        <v>470</v>
      </c>
    </row>
    <row r="64" spans="2:16" s="1" customFormat="1" ht="23.1" customHeight="1" x14ac:dyDescent="0.25">
      <c r="B64" s="31">
        <v>85</v>
      </c>
      <c r="C64" s="27" t="s">
        <v>46</v>
      </c>
      <c r="D64" s="64" t="s">
        <v>132</v>
      </c>
      <c r="E64" s="65"/>
      <c r="F64" s="65"/>
      <c r="G64" s="65"/>
      <c r="H64" s="65"/>
      <c r="I64" s="65"/>
      <c r="J64" s="65"/>
      <c r="K64" s="66"/>
      <c r="L64" s="27">
        <v>1</v>
      </c>
      <c r="M64" s="27" t="s">
        <v>48</v>
      </c>
      <c r="N64" s="30">
        <v>400</v>
      </c>
      <c r="O64" s="27" t="s">
        <v>48</v>
      </c>
      <c r="P64" s="32">
        <v>400</v>
      </c>
    </row>
    <row r="65" spans="2:17" s="1" customFormat="1" ht="23.1" customHeight="1" x14ac:dyDescent="0.25">
      <c r="B65" s="31">
        <v>86</v>
      </c>
      <c r="C65" s="27" t="s">
        <v>46</v>
      </c>
      <c r="D65" s="64" t="s">
        <v>133</v>
      </c>
      <c r="E65" s="65"/>
      <c r="F65" s="65"/>
      <c r="G65" s="65"/>
      <c r="H65" s="65"/>
      <c r="I65" s="65"/>
      <c r="J65" s="65"/>
      <c r="K65" s="66"/>
      <c r="L65" s="27">
        <v>1</v>
      </c>
      <c r="M65" s="27" t="s">
        <v>48</v>
      </c>
      <c r="N65" s="30">
        <v>780</v>
      </c>
      <c r="O65" s="27" t="s">
        <v>48</v>
      </c>
      <c r="P65" s="32">
        <v>780</v>
      </c>
    </row>
    <row r="66" spans="2:17" s="1" customFormat="1" ht="23.1" customHeight="1" x14ac:dyDescent="0.25">
      <c r="B66" s="31">
        <v>87</v>
      </c>
      <c r="C66" s="27" t="s">
        <v>46</v>
      </c>
      <c r="D66" s="64" t="s">
        <v>134</v>
      </c>
      <c r="E66" s="65"/>
      <c r="F66" s="65"/>
      <c r="G66" s="65"/>
      <c r="H66" s="65"/>
      <c r="I66" s="65"/>
      <c r="J66" s="65"/>
      <c r="K66" s="66"/>
      <c r="L66" s="27">
        <v>660</v>
      </c>
      <c r="M66" s="27" t="s">
        <v>48</v>
      </c>
      <c r="N66" s="30">
        <v>4.790909090909091</v>
      </c>
      <c r="O66" s="27" t="s">
        <v>48</v>
      </c>
      <c r="P66" s="32">
        <v>3162</v>
      </c>
    </row>
    <row r="67" spans="2:17" s="1" customFormat="1" ht="23.1" customHeight="1" x14ac:dyDescent="0.25">
      <c r="B67" s="31">
        <v>88</v>
      </c>
      <c r="C67" s="27" t="s">
        <v>46</v>
      </c>
      <c r="D67" s="64" t="s">
        <v>135</v>
      </c>
      <c r="E67" s="65"/>
      <c r="F67" s="65"/>
      <c r="G67" s="65"/>
      <c r="H67" s="65"/>
      <c r="I67" s="65"/>
      <c r="J67" s="65"/>
      <c r="K67" s="66"/>
      <c r="L67" s="27">
        <v>20000</v>
      </c>
      <c r="M67" s="27" t="s">
        <v>48</v>
      </c>
      <c r="N67" s="30">
        <v>0.08</v>
      </c>
      <c r="O67" s="27" t="s">
        <v>48</v>
      </c>
      <c r="P67" s="32">
        <v>1600</v>
      </c>
    </row>
    <row r="68" spans="2:17" s="1" customFormat="1" ht="23.1" customHeight="1" x14ac:dyDescent="0.25">
      <c r="B68" s="31">
        <v>89</v>
      </c>
      <c r="C68" s="27" t="s">
        <v>46</v>
      </c>
      <c r="D68" s="64" t="s">
        <v>136</v>
      </c>
      <c r="E68" s="65"/>
      <c r="F68" s="65"/>
      <c r="G68" s="65"/>
      <c r="H68" s="65"/>
      <c r="I68" s="65"/>
      <c r="J68" s="65"/>
      <c r="K68" s="66"/>
      <c r="L68" s="27">
        <v>7</v>
      </c>
      <c r="M68" s="27" t="s">
        <v>48</v>
      </c>
      <c r="N68" s="30">
        <v>150</v>
      </c>
      <c r="O68" s="27" t="s">
        <v>48</v>
      </c>
      <c r="P68" s="32">
        <v>1050</v>
      </c>
    </row>
    <row r="69" spans="2:17" s="1" customFormat="1" ht="23.1" customHeight="1" x14ac:dyDescent="0.25">
      <c r="B69" s="31">
        <v>90</v>
      </c>
      <c r="C69" s="27" t="s">
        <v>46</v>
      </c>
      <c r="D69" s="64" t="s">
        <v>137</v>
      </c>
      <c r="E69" s="65"/>
      <c r="F69" s="65"/>
      <c r="G69" s="65"/>
      <c r="H69" s="65"/>
      <c r="I69" s="65"/>
      <c r="J69" s="65"/>
      <c r="K69" s="66"/>
      <c r="L69" s="27">
        <v>6</v>
      </c>
      <c r="M69" s="27" t="s">
        <v>48</v>
      </c>
      <c r="N69" s="30">
        <v>24.906666666666666</v>
      </c>
      <c r="O69" s="27" t="s">
        <v>48</v>
      </c>
      <c r="P69" s="32">
        <v>149.44</v>
      </c>
    </row>
    <row r="70" spans="2:17" s="1" customFormat="1" ht="23.1" customHeight="1" thickBot="1" x14ac:dyDescent="0.3">
      <c r="B70" s="33">
        <v>91</v>
      </c>
      <c r="C70" s="34" t="s">
        <v>46</v>
      </c>
      <c r="D70" s="70" t="s">
        <v>138</v>
      </c>
      <c r="E70" s="71"/>
      <c r="F70" s="71"/>
      <c r="G70" s="71"/>
      <c r="H70" s="71"/>
      <c r="I70" s="71"/>
      <c r="J70" s="71"/>
      <c r="K70" s="72"/>
      <c r="L70" s="34">
        <v>80</v>
      </c>
      <c r="M70" s="34" t="s">
        <v>48</v>
      </c>
      <c r="N70" s="44">
        <v>7.45</v>
      </c>
      <c r="O70" s="34" t="s">
        <v>48</v>
      </c>
      <c r="P70" s="35">
        <v>596</v>
      </c>
    </row>
    <row r="71" spans="2:17" s="1" customFormat="1" ht="21" customHeight="1" thickBot="1" x14ac:dyDescent="0.3">
      <c r="B71" s="61" t="s">
        <v>17</v>
      </c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29">
        <f>SUM(P26:P70)</f>
        <v>28796.443759398499</v>
      </c>
    </row>
    <row r="72" spans="2:17" s="1" customFormat="1" x14ac:dyDescent="0.25">
      <c r="P72" s="21"/>
    </row>
    <row r="73" spans="2:17" s="7" customFormat="1" ht="20.25" x14ac:dyDescent="0.25">
      <c r="B73" s="46" t="s">
        <v>21</v>
      </c>
      <c r="C73" s="46"/>
      <c r="D73" s="3"/>
      <c r="E73" s="3"/>
      <c r="F73" s="4"/>
      <c r="G73" s="4"/>
      <c r="H73" s="5"/>
      <c r="I73" s="6"/>
      <c r="P73" s="36"/>
      <c r="Q73" s="1"/>
    </row>
    <row r="74" spans="2:17" s="7" customFormat="1" ht="20.25" x14ac:dyDescent="0.25">
      <c r="B74" s="47" t="s">
        <v>22</v>
      </c>
      <c r="C74" s="46"/>
      <c r="D74" s="3"/>
      <c r="E74" s="3"/>
      <c r="F74" s="4"/>
      <c r="G74" s="8"/>
      <c r="H74" s="3"/>
      <c r="I74" s="3"/>
      <c r="Q74" s="1"/>
    </row>
    <row r="75" spans="2:17" s="7" customFormat="1" ht="20.25" x14ac:dyDescent="0.25">
      <c r="B75" s="46"/>
      <c r="C75" s="46"/>
      <c r="D75" s="3"/>
      <c r="E75" s="3"/>
      <c r="F75" s="4"/>
      <c r="G75" s="8"/>
      <c r="H75" s="3"/>
      <c r="I75" s="3"/>
      <c r="Q75" s="1"/>
    </row>
    <row r="76" spans="2:17" s="1" customFormat="1" ht="20.25" x14ac:dyDescent="0.25">
      <c r="B76" s="46" t="s">
        <v>23</v>
      </c>
      <c r="C76" s="46"/>
      <c r="D76" s="3"/>
      <c r="E76" s="5"/>
      <c r="F76" s="9"/>
      <c r="G76" s="10"/>
      <c r="H76" s="3"/>
      <c r="I76" s="3"/>
      <c r="J76" s="7"/>
      <c r="K76" s="7"/>
      <c r="L76" s="7"/>
      <c r="M76" s="7"/>
      <c r="N76" s="7"/>
      <c r="O76" s="7"/>
      <c r="P76" s="7"/>
    </row>
    <row r="77" spans="2:17" s="1" customFormat="1" ht="20.25" x14ac:dyDescent="0.25">
      <c r="B77" s="48" t="s">
        <v>24</v>
      </c>
      <c r="C77" s="49" t="s">
        <v>30</v>
      </c>
      <c r="D77" s="13"/>
      <c r="E77" s="13"/>
      <c r="F77" s="14"/>
      <c r="G77" s="8"/>
      <c r="H77" s="3"/>
      <c r="I77" s="3"/>
      <c r="J77" s="7"/>
      <c r="K77" s="7"/>
      <c r="L77" s="7"/>
      <c r="M77" s="7"/>
      <c r="N77" s="7"/>
      <c r="O77" s="7"/>
      <c r="P77" s="7"/>
    </row>
    <row r="78" spans="2:17" s="1" customFormat="1" ht="20.25" x14ac:dyDescent="0.25">
      <c r="B78" s="50"/>
      <c r="C78" s="49" t="s">
        <v>31</v>
      </c>
      <c r="D78" s="13"/>
      <c r="E78" s="13"/>
      <c r="F78" s="14"/>
      <c r="G78" s="8"/>
      <c r="H78" s="3"/>
      <c r="I78" s="3"/>
      <c r="J78" s="7"/>
      <c r="K78" s="7"/>
      <c r="L78" s="7"/>
      <c r="M78" s="7"/>
      <c r="N78" s="7"/>
      <c r="O78" s="7"/>
      <c r="P78" s="7"/>
    </row>
    <row r="79" spans="2:17" s="1" customFormat="1" ht="20.25" x14ac:dyDescent="0.25">
      <c r="B79" s="50"/>
      <c r="C79" s="46"/>
      <c r="D79" s="3"/>
      <c r="E79" s="3"/>
      <c r="F79" s="15"/>
      <c r="G79" s="8"/>
      <c r="H79" s="5"/>
      <c r="I79" s="5"/>
      <c r="J79" s="7"/>
      <c r="K79" s="7"/>
      <c r="L79" s="7"/>
      <c r="M79" s="7"/>
      <c r="N79" s="7"/>
      <c r="O79" s="7"/>
      <c r="P79" s="7"/>
    </row>
    <row r="80" spans="2:17" s="1" customFormat="1" ht="20.25" x14ac:dyDescent="0.25">
      <c r="B80" s="48" t="s">
        <v>24</v>
      </c>
      <c r="C80" s="49" t="s">
        <v>32</v>
      </c>
      <c r="D80" s="13"/>
      <c r="E80" s="13"/>
      <c r="F80" s="15"/>
      <c r="G80" s="8"/>
      <c r="H80" s="5"/>
      <c r="I80" s="5"/>
      <c r="J80" s="7"/>
      <c r="K80" s="7"/>
      <c r="L80" s="7"/>
      <c r="M80" s="7"/>
      <c r="N80" s="7"/>
      <c r="O80" s="7"/>
      <c r="P80" s="7"/>
    </row>
    <row r="81" spans="2:16" s="1" customFormat="1" ht="20.25" x14ac:dyDescent="0.25">
      <c r="B81" s="50"/>
      <c r="C81" s="49" t="s">
        <v>33</v>
      </c>
      <c r="D81" s="13"/>
      <c r="E81" s="13"/>
      <c r="F81" s="15"/>
      <c r="G81" s="8"/>
      <c r="H81" s="5"/>
      <c r="I81" s="5"/>
      <c r="J81" s="7"/>
      <c r="K81" s="7"/>
      <c r="L81" s="7"/>
      <c r="M81" s="7"/>
      <c r="N81" s="7"/>
      <c r="O81" s="7"/>
      <c r="P81" s="7"/>
    </row>
    <row r="82" spans="2:16" s="1" customFormat="1" ht="20.25" x14ac:dyDescent="0.25">
      <c r="B82" s="50"/>
      <c r="C82" s="49" t="s">
        <v>25</v>
      </c>
      <c r="D82" s="13"/>
      <c r="E82" s="13"/>
      <c r="F82" s="15"/>
      <c r="G82" s="8"/>
      <c r="H82" s="5"/>
      <c r="I82" s="5"/>
      <c r="J82" s="7"/>
      <c r="K82" s="7"/>
      <c r="L82" s="7"/>
      <c r="M82" s="7"/>
      <c r="N82" s="7"/>
      <c r="O82" s="7"/>
      <c r="P82" s="7"/>
    </row>
    <row r="83" spans="2:16" s="1" customFormat="1" ht="20.25" x14ac:dyDescent="0.25">
      <c r="B83" s="46"/>
      <c r="C83" s="49" t="s">
        <v>26</v>
      </c>
      <c r="D83" s="3"/>
      <c r="E83" s="3"/>
      <c r="F83" s="15"/>
      <c r="G83" s="8"/>
      <c r="H83" s="5"/>
      <c r="I83" s="5"/>
      <c r="J83" s="7"/>
      <c r="K83" s="7"/>
      <c r="L83" s="7"/>
      <c r="M83" s="7"/>
      <c r="N83" s="7"/>
      <c r="O83" s="7"/>
      <c r="P83" s="7"/>
    </row>
    <row r="84" spans="2:16" s="1" customFormat="1" ht="20.25" x14ac:dyDescent="0.25">
      <c r="B84" s="46"/>
      <c r="C84" s="49" t="s">
        <v>27</v>
      </c>
      <c r="D84" s="3"/>
      <c r="E84" s="3"/>
      <c r="F84" s="15"/>
      <c r="G84" s="8"/>
      <c r="H84" s="5"/>
      <c r="I84" s="5"/>
      <c r="J84" s="7"/>
      <c r="K84" s="7"/>
      <c r="L84" s="7"/>
      <c r="M84" s="7"/>
      <c r="N84" s="7"/>
      <c r="O84" s="7"/>
      <c r="P84" s="7"/>
    </row>
    <row r="85" spans="2:16" s="1" customFormat="1" ht="20.25" x14ac:dyDescent="0.25">
      <c r="B85" s="46"/>
      <c r="C85" s="46"/>
      <c r="D85" s="3"/>
      <c r="E85" s="3"/>
      <c r="F85" s="15"/>
      <c r="G85" s="8"/>
      <c r="H85" s="5"/>
      <c r="I85" s="5"/>
      <c r="J85" s="7"/>
      <c r="K85" s="7"/>
      <c r="L85" s="7"/>
      <c r="M85" s="7"/>
      <c r="N85" s="7"/>
      <c r="O85" s="7"/>
      <c r="P85" s="7"/>
    </row>
    <row r="86" spans="2:16" s="1" customFormat="1" ht="20.25" x14ac:dyDescent="0.25">
      <c r="B86" s="51" t="s">
        <v>24</v>
      </c>
      <c r="C86" s="46" t="s">
        <v>34</v>
      </c>
      <c r="D86" s="3"/>
      <c r="E86" s="3"/>
      <c r="F86" s="15"/>
      <c r="G86" s="8"/>
      <c r="H86" s="5"/>
      <c r="I86" s="5"/>
      <c r="J86" s="7"/>
      <c r="K86" s="7"/>
      <c r="L86" s="7"/>
      <c r="M86" s="7"/>
      <c r="N86" s="7"/>
      <c r="O86" s="7"/>
      <c r="P86" s="7"/>
    </row>
    <row r="87" spans="2:16" s="1" customFormat="1" ht="20.25" x14ac:dyDescent="0.25">
      <c r="B87" s="52"/>
      <c r="C87" s="49" t="s">
        <v>35</v>
      </c>
      <c r="D87" s="13"/>
      <c r="E87" s="16"/>
      <c r="F87" s="17"/>
      <c r="G87" s="12"/>
      <c r="H87" s="11"/>
      <c r="I87" s="11"/>
      <c r="J87" s="7"/>
      <c r="K87" s="7"/>
      <c r="L87" s="7"/>
      <c r="M87" s="7"/>
      <c r="N87" s="7"/>
      <c r="O87" s="7"/>
      <c r="P87" s="7"/>
    </row>
    <row r="88" spans="2:16" s="1" customFormat="1" ht="20.25" x14ac:dyDescent="0.25">
      <c r="B88" s="50"/>
      <c r="C88" s="46" t="s">
        <v>36</v>
      </c>
      <c r="D88" s="3"/>
      <c r="E88" s="18"/>
      <c r="F88" s="15"/>
      <c r="G88" s="8"/>
      <c r="H88" s="5"/>
      <c r="I88" s="5"/>
      <c r="J88" s="7"/>
      <c r="K88" s="7"/>
      <c r="L88" s="7"/>
      <c r="M88" s="7"/>
      <c r="N88" s="7"/>
      <c r="O88" s="7"/>
      <c r="P88" s="7"/>
    </row>
    <row r="89" spans="2:16" s="1" customFormat="1" x14ac:dyDescent="0.25"/>
    <row r="90" spans="2:16" s="1" customFormat="1" x14ac:dyDescent="0.25"/>
    <row r="91" spans="2:16" s="1" customFormat="1" x14ac:dyDescent="0.25"/>
    <row r="92" spans="2:16" s="1" customFormat="1" x14ac:dyDescent="0.25"/>
    <row r="93" spans="2:16" s="1" customFormat="1" x14ac:dyDescent="0.25"/>
    <row r="94" spans="2:16" s="1" customFormat="1" x14ac:dyDescent="0.25"/>
    <row r="95" spans="2:16" s="1" customFormat="1" x14ac:dyDescent="0.25"/>
    <row r="96" spans="2:1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</sheetData>
  <mergeCells count="56">
    <mergeCell ref="D34:K34"/>
    <mergeCell ref="D25:K25"/>
    <mergeCell ref="L25:M25"/>
    <mergeCell ref="N25:O25"/>
    <mergeCell ref="B5:P7"/>
    <mergeCell ref="B8:P9"/>
    <mergeCell ref="N17:O17"/>
    <mergeCell ref="N18:O18"/>
    <mergeCell ref="N19:O19"/>
    <mergeCell ref="C20:D20"/>
    <mergeCell ref="N20:O20"/>
    <mergeCell ref="D29:K29"/>
    <mergeCell ref="D30:K30"/>
    <mergeCell ref="D31:K31"/>
    <mergeCell ref="D32:K32"/>
    <mergeCell ref="D33:K33"/>
    <mergeCell ref="D42:K42"/>
    <mergeCell ref="D35:K35"/>
    <mergeCell ref="D36:K36"/>
    <mergeCell ref="D37:K37"/>
    <mergeCell ref="D38:K38"/>
    <mergeCell ref="D39:K39"/>
    <mergeCell ref="D40:K40"/>
    <mergeCell ref="D54:K54"/>
    <mergeCell ref="D43:K43"/>
    <mergeCell ref="D44:K44"/>
    <mergeCell ref="D45:K45"/>
    <mergeCell ref="D46:K46"/>
    <mergeCell ref="D47:K47"/>
    <mergeCell ref="D48:K48"/>
    <mergeCell ref="D49:K49"/>
    <mergeCell ref="D50:K50"/>
    <mergeCell ref="D51:K51"/>
    <mergeCell ref="D52:K52"/>
    <mergeCell ref="D53:K53"/>
    <mergeCell ref="D56:K56"/>
    <mergeCell ref="D57:K57"/>
    <mergeCell ref="D58:K58"/>
    <mergeCell ref="D59:K59"/>
    <mergeCell ref="D60:K60"/>
    <mergeCell ref="B71:O71"/>
    <mergeCell ref="D41:K41"/>
    <mergeCell ref="D26:K26"/>
    <mergeCell ref="D27:K27"/>
    <mergeCell ref="D28:K28"/>
    <mergeCell ref="D67:K67"/>
    <mergeCell ref="D68:K68"/>
    <mergeCell ref="D69:K69"/>
    <mergeCell ref="D70:K70"/>
    <mergeCell ref="D61:K61"/>
    <mergeCell ref="D62:K62"/>
    <mergeCell ref="D63:K63"/>
    <mergeCell ref="D64:K64"/>
    <mergeCell ref="D65:K65"/>
    <mergeCell ref="D66:K66"/>
    <mergeCell ref="D55:K55"/>
  </mergeCells>
  <hyperlinks>
    <hyperlink ref="C22" r:id="rId1" xr:uid="{1CF14650-946E-4357-B696-4C577B72AE92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0" orientation="portrait" horizontalDpi="1200" verticalDpi="120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C53E-01A6-43DE-8CA0-2AEF4243071D}">
  <dimension ref="B1:Q244"/>
  <sheetViews>
    <sheetView topLeftCell="A14" zoomScale="70" zoomScaleNormal="70" zoomScaleSheetLayoutView="70" zoomScalePageLayoutView="40" workbookViewId="0">
      <selection activeCell="D31" sqref="D31:K31"/>
    </sheetView>
  </sheetViews>
  <sheetFormatPr baseColWidth="10" defaultRowHeight="15" x14ac:dyDescent="0.25"/>
  <cols>
    <col min="2" max="2" width="14" customWidth="1"/>
    <col min="3" max="3" width="24.28515625" customWidth="1"/>
    <col min="4" max="4" width="8.7109375" customWidth="1"/>
    <col min="5" max="5" width="5.7109375" customWidth="1"/>
    <col min="6" max="6" width="15.7109375" customWidth="1"/>
    <col min="10" max="10" width="8.85546875" customWidth="1"/>
    <col min="11" max="11" width="9.28515625" customWidth="1"/>
    <col min="12" max="12" width="15.28515625" customWidth="1"/>
    <col min="13" max="13" width="14.85546875" customWidth="1"/>
    <col min="14" max="14" width="18.28515625" customWidth="1"/>
    <col min="15" max="15" width="11.28515625" customWidth="1"/>
    <col min="16" max="16" width="29.28515625" customWidth="1"/>
  </cols>
  <sheetData>
    <row r="1" spans="2:16" s="1" customFormat="1" x14ac:dyDescent="0.25"/>
    <row r="2" spans="2:16" s="1" customFormat="1" x14ac:dyDescent="0.25"/>
    <row r="3" spans="2:16" s="1" customFormat="1" x14ac:dyDescent="0.25"/>
    <row r="4" spans="2:16" s="1" customFormat="1" x14ac:dyDescent="0.25"/>
    <row r="5" spans="2:16" s="1" customFormat="1" ht="15" customHeight="1" x14ac:dyDescent="0.25">
      <c r="B5" s="57" t="s">
        <v>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</row>
    <row r="6" spans="2:16" s="1" customFormat="1" ht="15" customHeight="1" x14ac:dyDescent="0.25"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</row>
    <row r="7" spans="2:16" s="1" customFormat="1" ht="15" customHeight="1" x14ac:dyDescent="0.25"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</row>
    <row r="8" spans="2:16" s="1" customFormat="1" ht="15" customHeight="1" x14ac:dyDescent="0.25">
      <c r="B8" s="57" t="s">
        <v>1</v>
      </c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2:16" s="1" customFormat="1" ht="15" customHeight="1" x14ac:dyDescent="0.25"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</row>
    <row r="10" spans="2:16" s="1" customFormat="1" x14ac:dyDescent="0.25"/>
    <row r="11" spans="2:16" s="1" customFormat="1" ht="23.25" x14ac:dyDescent="0.35">
      <c r="B11" s="28" t="s">
        <v>43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2:16" s="1" customFormat="1" ht="23.25" x14ac:dyDescent="0.35">
      <c r="B12" s="23" t="s">
        <v>42</v>
      </c>
      <c r="C12" s="23" t="s">
        <v>28</v>
      </c>
      <c r="D12" s="23"/>
      <c r="E12" s="23"/>
      <c r="F12" s="23"/>
      <c r="G12" s="23"/>
      <c r="H12" s="23"/>
      <c r="I12" s="23"/>
      <c r="J12" s="23"/>
      <c r="K12" s="23"/>
    </row>
    <row r="13" spans="2:16" s="1" customFormat="1" ht="23.25" x14ac:dyDescent="0.35">
      <c r="B13" s="23" t="s">
        <v>2</v>
      </c>
      <c r="C13" s="23" t="s">
        <v>29</v>
      </c>
      <c r="D13" s="23"/>
      <c r="E13" s="23"/>
      <c r="F13" s="23"/>
      <c r="G13" s="23"/>
      <c r="H13" s="23"/>
      <c r="I13" s="23"/>
      <c r="J13" s="23"/>
      <c r="K13" s="23"/>
    </row>
    <row r="14" spans="2:16" s="1" customFormat="1" ht="23.25" x14ac:dyDescent="0.35">
      <c r="B14" s="23" t="s">
        <v>41</v>
      </c>
      <c r="C14" s="24" t="s">
        <v>18</v>
      </c>
      <c r="D14" s="23"/>
      <c r="E14" s="23"/>
      <c r="F14" s="23"/>
      <c r="G14" s="23"/>
      <c r="H14" s="23"/>
      <c r="I14" s="23"/>
      <c r="J14" s="23"/>
      <c r="K14" s="23"/>
    </row>
    <row r="15" spans="2:16" s="1" customFormat="1" ht="23.25" x14ac:dyDescent="0.35">
      <c r="B15" s="23" t="s">
        <v>5</v>
      </c>
      <c r="C15" s="23" t="s">
        <v>37</v>
      </c>
      <c r="D15" s="23"/>
      <c r="E15" s="23"/>
      <c r="F15" s="23"/>
      <c r="G15" s="23"/>
      <c r="H15" s="23"/>
      <c r="I15" s="23"/>
      <c r="J15" s="23"/>
      <c r="K15" s="23"/>
    </row>
    <row r="16" spans="2:16" s="1" customFormat="1" ht="23.25" x14ac:dyDescent="0.35"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2:17" s="1" customFormat="1" ht="23.25" x14ac:dyDescent="0.35">
      <c r="B17" s="28" t="s">
        <v>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59" t="s">
        <v>40</v>
      </c>
      <c r="O17" s="60"/>
      <c r="P17" s="19" t="s">
        <v>45</v>
      </c>
    </row>
    <row r="18" spans="2:17" s="1" customFormat="1" ht="23.25" x14ac:dyDescent="0.35">
      <c r="B18" s="23" t="s">
        <v>42</v>
      </c>
      <c r="C18" s="23" t="s">
        <v>19</v>
      </c>
      <c r="D18" s="23"/>
      <c r="E18" s="23"/>
      <c r="F18" s="23"/>
      <c r="G18" s="23"/>
      <c r="H18" s="23"/>
      <c r="I18" s="23"/>
      <c r="J18" s="23"/>
      <c r="K18" s="23"/>
      <c r="N18" s="59" t="s">
        <v>3</v>
      </c>
      <c r="O18" s="60"/>
      <c r="P18" s="19">
        <f>+'C2'!P18+1</f>
        <v>91100142</v>
      </c>
    </row>
    <row r="19" spans="2:17" s="1" customFormat="1" ht="23.25" x14ac:dyDescent="0.35">
      <c r="B19" s="23" t="s">
        <v>2</v>
      </c>
      <c r="C19" s="23" t="s">
        <v>20</v>
      </c>
      <c r="D19" s="23"/>
      <c r="E19" s="23"/>
      <c r="F19" s="23"/>
      <c r="G19" s="23"/>
      <c r="H19" s="23"/>
      <c r="I19" s="23"/>
      <c r="J19" s="23"/>
      <c r="K19" s="23"/>
      <c r="N19" s="59" t="s">
        <v>4</v>
      </c>
      <c r="O19" s="60"/>
      <c r="P19" s="20">
        <v>45931</v>
      </c>
    </row>
    <row r="20" spans="2:17" s="1" customFormat="1" ht="23.25" x14ac:dyDescent="0.35">
      <c r="B20" s="23" t="s">
        <v>9</v>
      </c>
      <c r="C20" s="58">
        <v>20612452432</v>
      </c>
      <c r="D20" s="58"/>
      <c r="E20" s="23"/>
      <c r="F20" s="23"/>
      <c r="G20" s="23"/>
      <c r="H20" s="23"/>
      <c r="I20" s="23"/>
      <c r="J20" s="23"/>
      <c r="K20" s="23"/>
      <c r="N20" s="59" t="s">
        <v>6</v>
      </c>
      <c r="O20" s="60"/>
      <c r="P20" s="19" t="s">
        <v>7</v>
      </c>
    </row>
    <row r="21" spans="2:17" s="1" customFormat="1" ht="23.25" x14ac:dyDescent="0.35">
      <c r="B21" s="23" t="s">
        <v>10</v>
      </c>
      <c r="C21" s="25" t="s">
        <v>39</v>
      </c>
      <c r="D21" s="23"/>
      <c r="E21" s="23"/>
      <c r="F21" s="23"/>
      <c r="G21" s="23"/>
      <c r="H21" s="23"/>
      <c r="I21" s="23"/>
      <c r="J21" s="23"/>
      <c r="K21" s="23"/>
    </row>
    <row r="22" spans="2:17" s="1" customFormat="1" ht="23.25" x14ac:dyDescent="0.35">
      <c r="B22" s="23" t="s">
        <v>11</v>
      </c>
      <c r="C22" s="26" t="s">
        <v>38</v>
      </c>
      <c r="D22" s="23"/>
      <c r="E22" s="23"/>
      <c r="F22" s="23"/>
      <c r="G22" s="23"/>
      <c r="H22" s="23"/>
      <c r="I22" s="23"/>
      <c r="J22" s="23"/>
      <c r="K22" s="23"/>
    </row>
    <row r="23" spans="2:17" s="1" customFormat="1" x14ac:dyDescent="0.25"/>
    <row r="24" spans="2:17" s="1" customFormat="1" ht="21.6" customHeight="1" thickBot="1" x14ac:dyDescent="0.3"/>
    <row r="25" spans="2:17" s="1" customFormat="1" ht="24" thickBot="1" x14ac:dyDescent="0.3">
      <c r="B25" s="37" t="s">
        <v>44</v>
      </c>
      <c r="C25" s="38" t="s">
        <v>12</v>
      </c>
      <c r="D25" s="54" t="s">
        <v>13</v>
      </c>
      <c r="E25" s="55"/>
      <c r="F25" s="55"/>
      <c r="G25" s="55"/>
      <c r="H25" s="55"/>
      <c r="I25" s="55"/>
      <c r="J25" s="55"/>
      <c r="K25" s="56"/>
      <c r="L25" s="54" t="s">
        <v>14</v>
      </c>
      <c r="M25" s="56"/>
      <c r="N25" s="54" t="s">
        <v>15</v>
      </c>
      <c r="O25" s="56"/>
      <c r="P25" s="39" t="s">
        <v>16</v>
      </c>
      <c r="Q25" s="2"/>
    </row>
    <row r="26" spans="2:17" s="1" customFormat="1" ht="23.1" customHeight="1" x14ac:dyDescent="0.25">
      <c r="B26" s="40">
        <v>92</v>
      </c>
      <c r="C26" s="41" t="s">
        <v>46</v>
      </c>
      <c r="D26" s="67" t="s">
        <v>139</v>
      </c>
      <c r="E26" s="68"/>
      <c r="F26" s="68"/>
      <c r="G26" s="68"/>
      <c r="H26" s="68"/>
      <c r="I26" s="68"/>
      <c r="J26" s="68"/>
      <c r="K26" s="69"/>
      <c r="L26" s="41">
        <v>60</v>
      </c>
      <c r="M26" s="41" t="s">
        <v>48</v>
      </c>
      <c r="N26" s="42">
        <v>6.37</v>
      </c>
      <c r="O26" s="41" t="s">
        <v>48</v>
      </c>
      <c r="P26" s="43">
        <v>382.2</v>
      </c>
    </row>
    <row r="27" spans="2:17" s="1" customFormat="1" ht="23.1" customHeight="1" x14ac:dyDescent="0.25">
      <c r="B27" s="31">
        <v>93</v>
      </c>
      <c r="C27" s="27" t="s">
        <v>46</v>
      </c>
      <c r="D27" s="64" t="s">
        <v>140</v>
      </c>
      <c r="E27" s="65"/>
      <c r="F27" s="65"/>
      <c r="G27" s="65"/>
      <c r="H27" s="65"/>
      <c r="I27" s="65"/>
      <c r="J27" s="65"/>
      <c r="K27" s="66"/>
      <c r="L27" s="27">
        <v>100</v>
      </c>
      <c r="M27" s="27" t="s">
        <v>48</v>
      </c>
      <c r="N27" s="30">
        <v>0.59</v>
      </c>
      <c r="O27" s="27" t="s">
        <v>48</v>
      </c>
      <c r="P27" s="32">
        <v>59</v>
      </c>
    </row>
    <row r="28" spans="2:17" s="1" customFormat="1" ht="23.1" customHeight="1" x14ac:dyDescent="0.25">
      <c r="B28" s="31">
        <v>94</v>
      </c>
      <c r="C28" s="27" t="s">
        <v>46</v>
      </c>
      <c r="D28" s="64" t="s">
        <v>141</v>
      </c>
      <c r="E28" s="65"/>
      <c r="F28" s="65"/>
      <c r="G28" s="65"/>
      <c r="H28" s="65"/>
      <c r="I28" s="65"/>
      <c r="J28" s="65"/>
      <c r="K28" s="66"/>
      <c r="L28" s="27">
        <v>50</v>
      </c>
      <c r="M28" s="27" t="s">
        <v>48</v>
      </c>
      <c r="N28" s="30">
        <v>0.95</v>
      </c>
      <c r="O28" s="27" t="s">
        <v>48</v>
      </c>
      <c r="P28" s="32">
        <v>47.5</v>
      </c>
    </row>
    <row r="29" spans="2:17" s="1" customFormat="1" ht="23.1" customHeight="1" x14ac:dyDescent="0.25">
      <c r="B29" s="31">
        <v>95</v>
      </c>
      <c r="C29" s="27" t="s">
        <v>46</v>
      </c>
      <c r="D29" s="64" t="s">
        <v>142</v>
      </c>
      <c r="E29" s="65"/>
      <c r="F29" s="65"/>
      <c r="G29" s="65"/>
      <c r="H29" s="65"/>
      <c r="I29" s="65"/>
      <c r="J29" s="65"/>
      <c r="K29" s="66"/>
      <c r="L29" s="27">
        <v>50</v>
      </c>
      <c r="M29" s="27" t="s">
        <v>48</v>
      </c>
      <c r="N29" s="30">
        <v>1.3</v>
      </c>
      <c r="O29" s="27" t="s">
        <v>48</v>
      </c>
      <c r="P29" s="32">
        <v>65</v>
      </c>
    </row>
    <row r="30" spans="2:17" s="1" customFormat="1" ht="23.1" customHeight="1" x14ac:dyDescent="0.25">
      <c r="B30" s="31">
        <v>96</v>
      </c>
      <c r="C30" s="27" t="s">
        <v>143</v>
      </c>
      <c r="D30" s="64" t="s">
        <v>144</v>
      </c>
      <c r="E30" s="65"/>
      <c r="F30" s="65"/>
      <c r="G30" s="65"/>
      <c r="H30" s="65"/>
      <c r="I30" s="65"/>
      <c r="J30" s="65"/>
      <c r="K30" s="66"/>
      <c r="L30" s="27">
        <v>500</v>
      </c>
      <c r="M30" s="27" t="s">
        <v>48</v>
      </c>
      <c r="N30" s="30">
        <v>0.45</v>
      </c>
      <c r="O30" s="27" t="s">
        <v>48</v>
      </c>
      <c r="P30" s="32">
        <v>225</v>
      </c>
    </row>
    <row r="31" spans="2:17" s="1" customFormat="1" ht="23.1" customHeight="1" x14ac:dyDescent="0.25">
      <c r="B31" s="31">
        <v>97</v>
      </c>
      <c r="C31" s="27">
        <v>0</v>
      </c>
      <c r="D31" s="64" t="s">
        <v>145</v>
      </c>
      <c r="E31" s="65"/>
      <c r="F31" s="65"/>
      <c r="G31" s="65"/>
      <c r="H31" s="65"/>
      <c r="I31" s="65"/>
      <c r="J31" s="65"/>
      <c r="K31" s="66"/>
      <c r="L31" s="27">
        <v>3120</v>
      </c>
      <c r="M31" s="27" t="s">
        <v>48</v>
      </c>
      <c r="N31" s="30">
        <v>1.22</v>
      </c>
      <c r="O31" s="27" t="s">
        <v>48</v>
      </c>
      <c r="P31" s="32">
        <v>3806.4</v>
      </c>
    </row>
    <row r="32" spans="2:17" s="1" customFormat="1" ht="23.1" customHeight="1" x14ac:dyDescent="0.25">
      <c r="B32" s="31">
        <v>98</v>
      </c>
      <c r="C32" s="27" t="s">
        <v>46</v>
      </c>
      <c r="D32" s="64" t="s">
        <v>146</v>
      </c>
      <c r="E32" s="65"/>
      <c r="F32" s="65"/>
      <c r="G32" s="65"/>
      <c r="H32" s="65"/>
      <c r="I32" s="65"/>
      <c r="J32" s="65"/>
      <c r="K32" s="66"/>
      <c r="L32" s="27">
        <v>500</v>
      </c>
      <c r="M32" s="27" t="s">
        <v>48</v>
      </c>
      <c r="N32" s="30">
        <v>0.55000000000000004</v>
      </c>
      <c r="O32" s="27" t="s">
        <v>48</v>
      </c>
      <c r="P32" s="32">
        <v>275</v>
      </c>
    </row>
    <row r="33" spans="2:16" s="1" customFormat="1" ht="23.1" customHeight="1" x14ac:dyDescent="0.25">
      <c r="B33" s="31">
        <v>99</v>
      </c>
      <c r="C33" s="27" t="s">
        <v>46</v>
      </c>
      <c r="D33" s="64" t="s">
        <v>147</v>
      </c>
      <c r="E33" s="65"/>
      <c r="F33" s="65"/>
      <c r="G33" s="65"/>
      <c r="H33" s="65"/>
      <c r="I33" s="65"/>
      <c r="J33" s="65"/>
      <c r="K33" s="66"/>
      <c r="L33" s="27">
        <v>15</v>
      </c>
      <c r="M33" s="27" t="s">
        <v>48</v>
      </c>
      <c r="N33" s="30">
        <v>41</v>
      </c>
      <c r="O33" s="27" t="s">
        <v>48</v>
      </c>
      <c r="P33" s="32">
        <v>615</v>
      </c>
    </row>
    <row r="34" spans="2:16" s="1" customFormat="1" ht="23.1" customHeight="1" x14ac:dyDescent="0.25">
      <c r="B34" s="31">
        <v>100</v>
      </c>
      <c r="C34" s="27" t="s">
        <v>46</v>
      </c>
      <c r="D34" s="64" t="s">
        <v>148</v>
      </c>
      <c r="E34" s="65"/>
      <c r="F34" s="65"/>
      <c r="G34" s="65"/>
      <c r="H34" s="65"/>
      <c r="I34" s="65"/>
      <c r="J34" s="65"/>
      <c r="K34" s="66"/>
      <c r="L34" s="27">
        <v>10</v>
      </c>
      <c r="M34" s="27" t="s">
        <v>149</v>
      </c>
      <c r="N34" s="30">
        <v>9.2899999999999991</v>
      </c>
      <c r="O34" s="27" t="s">
        <v>149</v>
      </c>
      <c r="P34" s="32">
        <v>92.899999999999991</v>
      </c>
    </row>
    <row r="35" spans="2:16" s="1" customFormat="1" ht="23.1" customHeight="1" x14ac:dyDescent="0.25">
      <c r="B35" s="31">
        <v>101</v>
      </c>
      <c r="C35" s="27" t="s">
        <v>46</v>
      </c>
      <c r="D35" s="64" t="s">
        <v>150</v>
      </c>
      <c r="E35" s="65"/>
      <c r="F35" s="65"/>
      <c r="G35" s="65"/>
      <c r="H35" s="65"/>
      <c r="I35" s="65"/>
      <c r="J35" s="65"/>
      <c r="K35" s="66"/>
      <c r="L35" s="27">
        <v>5</v>
      </c>
      <c r="M35" s="27" t="s">
        <v>48</v>
      </c>
      <c r="N35" s="30">
        <v>11.46</v>
      </c>
      <c r="O35" s="27" t="s">
        <v>48</v>
      </c>
      <c r="P35" s="32">
        <v>57.300000000000004</v>
      </c>
    </row>
    <row r="36" spans="2:16" s="1" customFormat="1" ht="23.1" customHeight="1" x14ac:dyDescent="0.25">
      <c r="B36" s="31">
        <v>102</v>
      </c>
      <c r="C36" s="27" t="s">
        <v>151</v>
      </c>
      <c r="D36" s="64" t="s">
        <v>152</v>
      </c>
      <c r="E36" s="65"/>
      <c r="F36" s="65"/>
      <c r="G36" s="65"/>
      <c r="H36" s="65"/>
      <c r="I36" s="65"/>
      <c r="J36" s="65"/>
      <c r="K36" s="66"/>
      <c r="L36" s="27">
        <v>15</v>
      </c>
      <c r="M36" s="27" t="s">
        <v>48</v>
      </c>
      <c r="N36" s="30">
        <v>12.72</v>
      </c>
      <c r="O36" s="27" t="s">
        <v>48</v>
      </c>
      <c r="P36" s="32">
        <v>190.8</v>
      </c>
    </row>
    <row r="37" spans="2:16" s="1" customFormat="1" ht="23.1" customHeight="1" x14ac:dyDescent="0.25">
      <c r="B37" s="31">
        <v>103</v>
      </c>
      <c r="C37" s="27" t="s">
        <v>46</v>
      </c>
      <c r="D37" s="64" t="s">
        <v>153</v>
      </c>
      <c r="E37" s="65"/>
      <c r="F37" s="65"/>
      <c r="G37" s="65"/>
      <c r="H37" s="65"/>
      <c r="I37" s="65"/>
      <c r="J37" s="65"/>
      <c r="K37" s="66"/>
      <c r="L37" s="27">
        <v>200</v>
      </c>
      <c r="M37" s="27" t="s">
        <v>48</v>
      </c>
      <c r="N37" s="30">
        <v>3.55</v>
      </c>
      <c r="O37" s="27" t="s">
        <v>48</v>
      </c>
      <c r="P37" s="32">
        <v>710</v>
      </c>
    </row>
    <row r="38" spans="2:16" s="1" customFormat="1" ht="23.1" customHeight="1" x14ac:dyDescent="0.25">
      <c r="B38" s="31">
        <v>104</v>
      </c>
      <c r="C38" s="27" t="s">
        <v>46</v>
      </c>
      <c r="D38" s="64" t="s">
        <v>154</v>
      </c>
      <c r="E38" s="65"/>
      <c r="F38" s="65"/>
      <c r="G38" s="65"/>
      <c r="H38" s="65"/>
      <c r="I38" s="65"/>
      <c r="J38" s="65"/>
      <c r="K38" s="66"/>
      <c r="L38" s="27">
        <v>10</v>
      </c>
      <c r="M38" s="27" t="s">
        <v>48</v>
      </c>
      <c r="N38" s="30">
        <v>1.55</v>
      </c>
      <c r="O38" s="27" t="s">
        <v>48</v>
      </c>
      <c r="P38" s="32">
        <v>15.5</v>
      </c>
    </row>
    <row r="39" spans="2:16" s="1" customFormat="1" ht="23.1" customHeight="1" x14ac:dyDescent="0.25">
      <c r="B39" s="31">
        <v>105</v>
      </c>
      <c r="C39" s="27" t="s">
        <v>151</v>
      </c>
      <c r="D39" s="64" t="s">
        <v>155</v>
      </c>
      <c r="E39" s="65"/>
      <c r="F39" s="65"/>
      <c r="G39" s="65"/>
      <c r="H39" s="65"/>
      <c r="I39" s="65"/>
      <c r="J39" s="65"/>
      <c r="K39" s="66"/>
      <c r="L39" s="27">
        <v>10</v>
      </c>
      <c r="M39" s="27" t="s">
        <v>48</v>
      </c>
      <c r="N39" s="30">
        <v>2.79</v>
      </c>
      <c r="O39" s="27" t="s">
        <v>48</v>
      </c>
      <c r="P39" s="32">
        <v>27.9</v>
      </c>
    </row>
    <row r="40" spans="2:16" s="1" customFormat="1" ht="23.1" customHeight="1" x14ac:dyDescent="0.25">
      <c r="B40" s="31">
        <v>106</v>
      </c>
      <c r="C40" s="27" t="s">
        <v>46</v>
      </c>
      <c r="D40" s="64" t="s">
        <v>156</v>
      </c>
      <c r="E40" s="65"/>
      <c r="F40" s="65"/>
      <c r="G40" s="65"/>
      <c r="H40" s="65"/>
      <c r="I40" s="65"/>
      <c r="J40" s="65"/>
      <c r="K40" s="66"/>
      <c r="L40" s="27">
        <v>73</v>
      </c>
      <c r="M40" s="27" t="s">
        <v>48</v>
      </c>
      <c r="N40" s="30">
        <v>0.66</v>
      </c>
      <c r="O40" s="27" t="s">
        <v>48</v>
      </c>
      <c r="P40" s="32">
        <v>48.18</v>
      </c>
    </row>
    <row r="41" spans="2:16" s="1" customFormat="1" ht="23.1" customHeight="1" x14ac:dyDescent="0.25">
      <c r="B41" s="31">
        <v>107</v>
      </c>
      <c r="C41" s="27" t="s">
        <v>157</v>
      </c>
      <c r="D41" s="64" t="s">
        <v>158</v>
      </c>
      <c r="E41" s="65"/>
      <c r="F41" s="65"/>
      <c r="G41" s="65"/>
      <c r="H41" s="65"/>
      <c r="I41" s="65"/>
      <c r="J41" s="65"/>
      <c r="K41" s="66"/>
      <c r="L41" s="27">
        <v>10</v>
      </c>
      <c r="M41" s="27" t="s">
        <v>48</v>
      </c>
      <c r="N41" s="30">
        <v>1.56</v>
      </c>
      <c r="O41" s="27" t="s">
        <v>48</v>
      </c>
      <c r="P41" s="32">
        <v>15.600000000000001</v>
      </c>
    </row>
    <row r="42" spans="2:16" s="1" customFormat="1" ht="23.1" customHeight="1" x14ac:dyDescent="0.25">
      <c r="B42" s="31">
        <v>108</v>
      </c>
      <c r="C42" s="27" t="s">
        <v>159</v>
      </c>
      <c r="D42" s="64" t="s">
        <v>160</v>
      </c>
      <c r="E42" s="65"/>
      <c r="F42" s="65"/>
      <c r="G42" s="65"/>
      <c r="H42" s="65"/>
      <c r="I42" s="65"/>
      <c r="J42" s="65"/>
      <c r="K42" s="66"/>
      <c r="L42" s="27">
        <v>160</v>
      </c>
      <c r="M42" s="27" t="s">
        <v>48</v>
      </c>
      <c r="N42" s="30">
        <v>10</v>
      </c>
      <c r="O42" s="27" t="s">
        <v>48</v>
      </c>
      <c r="P42" s="32">
        <v>1600</v>
      </c>
    </row>
    <row r="43" spans="2:16" s="1" customFormat="1" ht="23.1" customHeight="1" x14ac:dyDescent="0.25">
      <c r="B43" s="31">
        <v>109</v>
      </c>
      <c r="C43" s="27" t="s">
        <v>159</v>
      </c>
      <c r="D43" s="64" t="s">
        <v>161</v>
      </c>
      <c r="E43" s="65"/>
      <c r="F43" s="65"/>
      <c r="G43" s="65"/>
      <c r="H43" s="65"/>
      <c r="I43" s="65"/>
      <c r="J43" s="65"/>
      <c r="K43" s="66"/>
      <c r="L43" s="27">
        <v>140</v>
      </c>
      <c r="M43" s="27" t="s">
        <v>48</v>
      </c>
      <c r="N43" s="30">
        <v>13</v>
      </c>
      <c r="O43" s="27" t="s">
        <v>48</v>
      </c>
      <c r="P43" s="32">
        <v>1820</v>
      </c>
    </row>
    <row r="44" spans="2:16" s="1" customFormat="1" ht="23.1" customHeight="1" x14ac:dyDescent="0.25">
      <c r="B44" s="31">
        <v>110</v>
      </c>
      <c r="C44" s="27" t="s">
        <v>162</v>
      </c>
      <c r="D44" s="64" t="s">
        <v>163</v>
      </c>
      <c r="E44" s="65"/>
      <c r="F44" s="65"/>
      <c r="G44" s="65"/>
      <c r="H44" s="65"/>
      <c r="I44" s="65"/>
      <c r="J44" s="65"/>
      <c r="K44" s="66"/>
      <c r="L44" s="27">
        <v>10</v>
      </c>
      <c r="M44" s="27" t="s">
        <v>48</v>
      </c>
      <c r="N44" s="30">
        <v>20</v>
      </c>
      <c r="O44" s="27" t="s">
        <v>48</v>
      </c>
      <c r="P44" s="32">
        <v>200</v>
      </c>
    </row>
    <row r="45" spans="2:16" s="1" customFormat="1" ht="23.1" customHeight="1" x14ac:dyDescent="0.25">
      <c r="B45" s="31">
        <v>111</v>
      </c>
      <c r="C45" s="27" t="s">
        <v>162</v>
      </c>
      <c r="D45" s="64" t="s">
        <v>164</v>
      </c>
      <c r="E45" s="65"/>
      <c r="F45" s="65"/>
      <c r="G45" s="65"/>
      <c r="H45" s="65"/>
      <c r="I45" s="65"/>
      <c r="J45" s="65"/>
      <c r="K45" s="66"/>
      <c r="L45" s="27">
        <v>21</v>
      </c>
      <c r="M45" s="27" t="s">
        <v>149</v>
      </c>
      <c r="N45" s="30">
        <v>30</v>
      </c>
      <c r="O45" s="27" t="s">
        <v>149</v>
      </c>
      <c r="P45" s="32">
        <v>630</v>
      </c>
    </row>
    <row r="46" spans="2:16" s="1" customFormat="1" ht="23.1" customHeight="1" x14ac:dyDescent="0.25">
      <c r="B46" s="31">
        <v>112</v>
      </c>
      <c r="C46" s="27" t="s">
        <v>162</v>
      </c>
      <c r="D46" s="64" t="s">
        <v>165</v>
      </c>
      <c r="E46" s="65"/>
      <c r="F46" s="65"/>
      <c r="G46" s="65"/>
      <c r="H46" s="65"/>
      <c r="I46" s="65"/>
      <c r="J46" s="65"/>
      <c r="K46" s="66"/>
      <c r="L46" s="27">
        <v>50</v>
      </c>
      <c r="M46" s="27" t="s">
        <v>149</v>
      </c>
      <c r="N46" s="30">
        <v>2.5</v>
      </c>
      <c r="O46" s="27" t="s">
        <v>149</v>
      </c>
      <c r="P46" s="32">
        <v>125</v>
      </c>
    </row>
    <row r="47" spans="2:16" s="1" customFormat="1" ht="23.1" customHeight="1" x14ac:dyDescent="0.25">
      <c r="B47" s="31">
        <v>113</v>
      </c>
      <c r="C47" s="27" t="s">
        <v>166</v>
      </c>
      <c r="D47" s="64" t="s">
        <v>167</v>
      </c>
      <c r="E47" s="65"/>
      <c r="F47" s="65"/>
      <c r="G47" s="65"/>
      <c r="H47" s="65"/>
      <c r="I47" s="65"/>
      <c r="J47" s="65"/>
      <c r="K47" s="66"/>
      <c r="L47" s="27">
        <v>35</v>
      </c>
      <c r="M47" s="27" t="s">
        <v>149</v>
      </c>
      <c r="N47" s="30">
        <v>6.4285714285714288</v>
      </c>
      <c r="O47" s="27" t="s">
        <v>149</v>
      </c>
      <c r="P47" s="32">
        <v>225</v>
      </c>
    </row>
    <row r="48" spans="2:16" s="1" customFormat="1" ht="23.1" customHeight="1" x14ac:dyDescent="0.25">
      <c r="B48" s="31">
        <v>114</v>
      </c>
      <c r="C48" s="27" t="s">
        <v>46</v>
      </c>
      <c r="D48" s="64" t="s">
        <v>168</v>
      </c>
      <c r="E48" s="65"/>
      <c r="F48" s="65"/>
      <c r="G48" s="65"/>
      <c r="H48" s="65"/>
      <c r="I48" s="65"/>
      <c r="J48" s="65"/>
      <c r="K48" s="66"/>
      <c r="L48" s="27">
        <v>288</v>
      </c>
      <c r="M48" s="27" t="s">
        <v>48</v>
      </c>
      <c r="N48" s="30">
        <v>0.45138888888799999</v>
      </c>
      <c r="O48" s="27" t="s">
        <v>48</v>
      </c>
      <c r="P48" s="32">
        <v>129.99999999974401</v>
      </c>
    </row>
    <row r="49" spans="2:16" s="1" customFormat="1" ht="23.1" customHeight="1" x14ac:dyDescent="0.25">
      <c r="B49" s="31">
        <v>115</v>
      </c>
      <c r="C49" s="27" t="s">
        <v>166</v>
      </c>
      <c r="D49" s="64" t="s">
        <v>169</v>
      </c>
      <c r="E49" s="65"/>
      <c r="F49" s="65"/>
      <c r="G49" s="65"/>
      <c r="H49" s="65"/>
      <c r="I49" s="65"/>
      <c r="J49" s="65"/>
      <c r="K49" s="66"/>
      <c r="L49" s="27">
        <v>30</v>
      </c>
      <c r="M49" s="27" t="s">
        <v>48</v>
      </c>
      <c r="N49" s="30">
        <v>24</v>
      </c>
      <c r="O49" s="27" t="s">
        <v>48</v>
      </c>
      <c r="P49" s="32">
        <v>720</v>
      </c>
    </row>
    <row r="50" spans="2:16" s="1" customFormat="1" ht="23.1" customHeight="1" x14ac:dyDescent="0.25">
      <c r="B50" s="31">
        <v>116</v>
      </c>
      <c r="C50" s="27" t="s">
        <v>170</v>
      </c>
      <c r="D50" s="64" t="s">
        <v>171</v>
      </c>
      <c r="E50" s="65"/>
      <c r="F50" s="65"/>
      <c r="G50" s="65"/>
      <c r="H50" s="65"/>
      <c r="I50" s="65"/>
      <c r="J50" s="65"/>
      <c r="K50" s="66"/>
      <c r="L50" s="27">
        <v>208</v>
      </c>
      <c r="M50" s="27" t="s">
        <v>48</v>
      </c>
      <c r="N50" s="30">
        <v>7.384615384615385</v>
      </c>
      <c r="O50" s="27" t="s">
        <v>48</v>
      </c>
      <c r="P50" s="32">
        <v>1536</v>
      </c>
    </row>
    <row r="51" spans="2:16" s="1" customFormat="1" ht="23.1" customHeight="1" x14ac:dyDescent="0.25">
      <c r="B51" s="31">
        <v>117</v>
      </c>
      <c r="C51" s="27" t="s">
        <v>170</v>
      </c>
      <c r="D51" s="64" t="s">
        <v>172</v>
      </c>
      <c r="E51" s="65"/>
      <c r="F51" s="65"/>
      <c r="G51" s="65"/>
      <c r="H51" s="65"/>
      <c r="I51" s="65"/>
      <c r="J51" s="65"/>
      <c r="K51" s="66"/>
      <c r="L51" s="27">
        <v>264</v>
      </c>
      <c r="M51" s="27" t="s">
        <v>48</v>
      </c>
      <c r="N51" s="30">
        <v>5</v>
      </c>
      <c r="O51" s="27" t="s">
        <v>48</v>
      </c>
      <c r="P51" s="32">
        <v>1320</v>
      </c>
    </row>
    <row r="52" spans="2:16" s="1" customFormat="1" ht="23.1" customHeight="1" x14ac:dyDescent="0.25">
      <c r="B52" s="31">
        <v>118</v>
      </c>
      <c r="C52" s="27" t="s">
        <v>173</v>
      </c>
      <c r="D52" s="64" t="s">
        <v>174</v>
      </c>
      <c r="E52" s="65"/>
      <c r="F52" s="65"/>
      <c r="G52" s="65"/>
      <c r="H52" s="65"/>
      <c r="I52" s="65"/>
      <c r="J52" s="65"/>
      <c r="K52" s="66"/>
      <c r="L52" s="27">
        <v>3</v>
      </c>
      <c r="M52" s="27" t="s">
        <v>48</v>
      </c>
      <c r="N52" s="30">
        <v>400</v>
      </c>
      <c r="O52" s="27" t="s">
        <v>48</v>
      </c>
      <c r="P52" s="32">
        <v>1200</v>
      </c>
    </row>
    <row r="53" spans="2:16" s="1" customFormat="1" ht="23.1" customHeight="1" x14ac:dyDescent="0.25">
      <c r="B53" s="31">
        <v>119</v>
      </c>
      <c r="C53" s="27" t="s">
        <v>175</v>
      </c>
      <c r="D53" s="64" t="s">
        <v>176</v>
      </c>
      <c r="E53" s="65"/>
      <c r="F53" s="65"/>
      <c r="G53" s="65"/>
      <c r="H53" s="65"/>
      <c r="I53" s="65"/>
      <c r="J53" s="65"/>
      <c r="K53" s="66"/>
      <c r="L53" s="27">
        <v>1</v>
      </c>
      <c r="M53" s="27" t="s">
        <v>48</v>
      </c>
      <c r="N53" s="30">
        <v>1105</v>
      </c>
      <c r="O53" s="27" t="s">
        <v>48</v>
      </c>
      <c r="P53" s="32">
        <v>1105</v>
      </c>
    </row>
    <row r="54" spans="2:16" s="1" customFormat="1" ht="23.1" customHeight="1" x14ac:dyDescent="0.25">
      <c r="B54" s="31">
        <v>120</v>
      </c>
      <c r="C54" s="27" t="s">
        <v>175</v>
      </c>
      <c r="D54" s="64" t="s">
        <v>177</v>
      </c>
      <c r="E54" s="65"/>
      <c r="F54" s="65"/>
      <c r="G54" s="65"/>
      <c r="H54" s="65"/>
      <c r="I54" s="65"/>
      <c r="J54" s="65"/>
      <c r="K54" s="66"/>
      <c r="L54" s="27">
        <v>1</v>
      </c>
      <c r="M54" s="27" t="s">
        <v>48</v>
      </c>
      <c r="N54" s="30">
        <v>555</v>
      </c>
      <c r="O54" s="27" t="s">
        <v>48</v>
      </c>
      <c r="P54" s="32">
        <v>555</v>
      </c>
    </row>
    <row r="55" spans="2:16" s="1" customFormat="1" ht="23.1" customHeight="1" x14ac:dyDescent="0.25">
      <c r="B55" s="31">
        <v>121</v>
      </c>
      <c r="C55" s="27" t="s">
        <v>178</v>
      </c>
      <c r="D55" s="64" t="s">
        <v>179</v>
      </c>
      <c r="E55" s="65"/>
      <c r="F55" s="65"/>
      <c r="G55" s="65"/>
      <c r="H55" s="65"/>
      <c r="I55" s="65"/>
      <c r="J55" s="65"/>
      <c r="K55" s="66"/>
      <c r="L55" s="27">
        <v>1</v>
      </c>
      <c r="M55" s="27" t="s">
        <v>48</v>
      </c>
      <c r="N55" s="30">
        <v>450</v>
      </c>
      <c r="O55" s="27" t="s">
        <v>48</v>
      </c>
      <c r="P55" s="32">
        <v>450</v>
      </c>
    </row>
    <row r="56" spans="2:16" s="1" customFormat="1" ht="23.1" customHeight="1" x14ac:dyDescent="0.25">
      <c r="B56" s="31">
        <v>122</v>
      </c>
      <c r="C56" s="27" t="s">
        <v>46</v>
      </c>
      <c r="D56" s="64" t="s">
        <v>180</v>
      </c>
      <c r="E56" s="65"/>
      <c r="F56" s="65"/>
      <c r="G56" s="65"/>
      <c r="H56" s="65"/>
      <c r="I56" s="65"/>
      <c r="J56" s="65"/>
      <c r="K56" s="66"/>
      <c r="L56" s="27">
        <v>40</v>
      </c>
      <c r="M56" s="27" t="s">
        <v>48</v>
      </c>
      <c r="N56" s="30">
        <v>19.100000000000001</v>
      </c>
      <c r="O56" s="27" t="s">
        <v>48</v>
      </c>
      <c r="P56" s="32">
        <v>764</v>
      </c>
    </row>
    <row r="57" spans="2:16" s="1" customFormat="1" ht="23.1" customHeight="1" x14ac:dyDescent="0.25">
      <c r="B57" s="31">
        <v>123</v>
      </c>
      <c r="C57" s="27" t="s">
        <v>46</v>
      </c>
      <c r="D57" s="64" t="s">
        <v>181</v>
      </c>
      <c r="E57" s="65"/>
      <c r="F57" s="65"/>
      <c r="G57" s="65"/>
      <c r="H57" s="65"/>
      <c r="I57" s="65"/>
      <c r="J57" s="65"/>
      <c r="K57" s="66"/>
      <c r="L57" s="27">
        <v>2</v>
      </c>
      <c r="M57" s="27" t="s">
        <v>48</v>
      </c>
      <c r="N57" s="30">
        <v>70</v>
      </c>
      <c r="O57" s="27" t="s">
        <v>48</v>
      </c>
      <c r="P57" s="32">
        <v>140</v>
      </c>
    </row>
    <row r="58" spans="2:16" s="1" customFormat="1" ht="23.1" customHeight="1" x14ac:dyDescent="0.25">
      <c r="B58" s="31">
        <v>124</v>
      </c>
      <c r="C58" s="27" t="s">
        <v>46</v>
      </c>
      <c r="D58" s="64" t="s">
        <v>182</v>
      </c>
      <c r="E58" s="65"/>
      <c r="F58" s="65"/>
      <c r="G58" s="65"/>
      <c r="H58" s="65"/>
      <c r="I58" s="65"/>
      <c r="J58" s="65"/>
      <c r="K58" s="66"/>
      <c r="L58" s="27">
        <v>440</v>
      </c>
      <c r="M58" s="27" t="s">
        <v>48</v>
      </c>
      <c r="N58" s="30">
        <v>1.55</v>
      </c>
      <c r="O58" s="27" t="s">
        <v>48</v>
      </c>
      <c r="P58" s="32">
        <v>682</v>
      </c>
    </row>
    <row r="59" spans="2:16" s="1" customFormat="1" ht="23.1" customHeight="1" x14ac:dyDescent="0.25">
      <c r="B59" s="31">
        <v>125</v>
      </c>
      <c r="C59" s="27" t="s">
        <v>46</v>
      </c>
      <c r="D59" s="64" t="s">
        <v>183</v>
      </c>
      <c r="E59" s="65"/>
      <c r="F59" s="65"/>
      <c r="G59" s="65"/>
      <c r="H59" s="65"/>
      <c r="I59" s="65"/>
      <c r="J59" s="65"/>
      <c r="K59" s="66"/>
      <c r="L59" s="27">
        <v>480</v>
      </c>
      <c r="M59" s="27" t="s">
        <v>48</v>
      </c>
      <c r="N59" s="30">
        <v>1.65</v>
      </c>
      <c r="O59" s="27" t="s">
        <v>48</v>
      </c>
      <c r="P59" s="32">
        <v>792</v>
      </c>
    </row>
    <row r="60" spans="2:16" s="1" customFormat="1" ht="23.1" customHeight="1" x14ac:dyDescent="0.25">
      <c r="B60" s="31">
        <v>126</v>
      </c>
      <c r="C60" s="27" t="s">
        <v>46</v>
      </c>
      <c r="D60" s="64" t="s">
        <v>184</v>
      </c>
      <c r="E60" s="65"/>
      <c r="F60" s="65"/>
      <c r="G60" s="65"/>
      <c r="H60" s="65"/>
      <c r="I60" s="65"/>
      <c r="J60" s="65"/>
      <c r="K60" s="66"/>
      <c r="L60" s="27">
        <v>300</v>
      </c>
      <c r="M60" s="27" t="s">
        <v>48</v>
      </c>
      <c r="N60" s="30">
        <v>1.8</v>
      </c>
      <c r="O60" s="27" t="s">
        <v>48</v>
      </c>
      <c r="P60" s="32">
        <v>540</v>
      </c>
    </row>
    <row r="61" spans="2:16" s="1" customFormat="1" ht="23.1" customHeight="1" x14ac:dyDescent="0.25">
      <c r="B61" s="31">
        <v>127</v>
      </c>
      <c r="C61" s="27" t="s">
        <v>46</v>
      </c>
      <c r="D61" s="64" t="s">
        <v>185</v>
      </c>
      <c r="E61" s="65"/>
      <c r="F61" s="65"/>
      <c r="G61" s="65"/>
      <c r="H61" s="65"/>
      <c r="I61" s="65"/>
      <c r="J61" s="65"/>
      <c r="K61" s="66"/>
      <c r="L61" s="27">
        <v>194</v>
      </c>
      <c r="M61" s="27" t="s">
        <v>48</v>
      </c>
      <c r="N61" s="30">
        <v>2.02</v>
      </c>
      <c r="O61" s="27" t="s">
        <v>48</v>
      </c>
      <c r="P61" s="32">
        <v>391.88</v>
      </c>
    </row>
    <row r="62" spans="2:16" s="1" customFormat="1" ht="23.1" customHeight="1" x14ac:dyDescent="0.25">
      <c r="B62" s="31">
        <v>128</v>
      </c>
      <c r="C62" s="27" t="s">
        <v>46</v>
      </c>
      <c r="D62" s="64" t="s">
        <v>186</v>
      </c>
      <c r="E62" s="65"/>
      <c r="F62" s="65"/>
      <c r="G62" s="65"/>
      <c r="H62" s="65"/>
      <c r="I62" s="65"/>
      <c r="J62" s="65"/>
      <c r="K62" s="66"/>
      <c r="L62" s="27">
        <v>850</v>
      </c>
      <c r="M62" s="27" t="s">
        <v>48</v>
      </c>
      <c r="N62" s="30">
        <v>1.8635294117647059</v>
      </c>
      <c r="O62" s="27" t="s">
        <v>48</v>
      </c>
      <c r="P62" s="32">
        <v>1584</v>
      </c>
    </row>
    <row r="63" spans="2:16" s="1" customFormat="1" ht="23.1" customHeight="1" x14ac:dyDescent="0.25">
      <c r="B63" s="31">
        <v>129</v>
      </c>
      <c r="C63" s="27" t="s">
        <v>46</v>
      </c>
      <c r="D63" s="64" t="s">
        <v>187</v>
      </c>
      <c r="E63" s="65"/>
      <c r="F63" s="65"/>
      <c r="G63" s="65"/>
      <c r="H63" s="65"/>
      <c r="I63" s="65"/>
      <c r="J63" s="65"/>
      <c r="K63" s="66"/>
      <c r="L63" s="27">
        <v>300</v>
      </c>
      <c r="M63" s="27" t="s">
        <v>48</v>
      </c>
      <c r="N63" s="30">
        <v>1.83</v>
      </c>
      <c r="O63" s="27" t="s">
        <v>48</v>
      </c>
      <c r="P63" s="32">
        <v>549</v>
      </c>
    </row>
    <row r="64" spans="2:16" s="1" customFormat="1" ht="23.1" customHeight="1" x14ac:dyDescent="0.25">
      <c r="B64" s="31">
        <v>130</v>
      </c>
      <c r="C64" s="27" t="s">
        <v>46</v>
      </c>
      <c r="D64" s="64" t="s">
        <v>188</v>
      </c>
      <c r="E64" s="65"/>
      <c r="F64" s="65"/>
      <c r="G64" s="65"/>
      <c r="H64" s="65"/>
      <c r="I64" s="65"/>
      <c r="J64" s="65"/>
      <c r="K64" s="66"/>
      <c r="L64" s="27">
        <v>240</v>
      </c>
      <c r="M64" s="27" t="s">
        <v>48</v>
      </c>
      <c r="N64" s="30">
        <v>1.65</v>
      </c>
      <c r="O64" s="27" t="s">
        <v>48</v>
      </c>
      <c r="P64" s="32">
        <v>396</v>
      </c>
    </row>
    <row r="65" spans="2:17" s="1" customFormat="1" ht="23.1" customHeight="1" x14ac:dyDescent="0.25">
      <c r="B65" s="31">
        <v>131</v>
      </c>
      <c r="C65" s="27" t="s">
        <v>46</v>
      </c>
      <c r="D65" s="64" t="s">
        <v>189</v>
      </c>
      <c r="E65" s="65"/>
      <c r="F65" s="65"/>
      <c r="G65" s="65"/>
      <c r="H65" s="65"/>
      <c r="I65" s="65"/>
      <c r="J65" s="65"/>
      <c r="K65" s="66"/>
      <c r="L65" s="27">
        <v>360</v>
      </c>
      <c r="M65" s="27" t="s">
        <v>48</v>
      </c>
      <c r="N65" s="30">
        <v>2.02</v>
      </c>
      <c r="O65" s="27" t="s">
        <v>48</v>
      </c>
      <c r="P65" s="32">
        <v>727.2</v>
      </c>
    </row>
    <row r="66" spans="2:17" s="1" customFormat="1" ht="23.1" customHeight="1" x14ac:dyDescent="0.25">
      <c r="B66" s="31">
        <v>132</v>
      </c>
      <c r="C66" s="27" t="s">
        <v>190</v>
      </c>
      <c r="D66" s="64" t="s">
        <v>191</v>
      </c>
      <c r="E66" s="65"/>
      <c r="F66" s="65"/>
      <c r="G66" s="65"/>
      <c r="H66" s="65"/>
      <c r="I66" s="65"/>
      <c r="J66" s="65"/>
      <c r="K66" s="66"/>
      <c r="L66" s="27">
        <v>1</v>
      </c>
      <c r="M66" s="27" t="s">
        <v>48</v>
      </c>
      <c r="N66" s="30">
        <v>1735</v>
      </c>
      <c r="O66" s="27" t="s">
        <v>48</v>
      </c>
      <c r="P66" s="32">
        <v>1735</v>
      </c>
    </row>
    <row r="67" spans="2:17" s="1" customFormat="1" ht="23.1" customHeight="1" thickBot="1" x14ac:dyDescent="0.3">
      <c r="B67" s="33">
        <v>133</v>
      </c>
      <c r="C67" s="34" t="s">
        <v>192</v>
      </c>
      <c r="D67" s="70" t="s">
        <v>193</v>
      </c>
      <c r="E67" s="71"/>
      <c r="F67" s="71"/>
      <c r="G67" s="71"/>
      <c r="H67" s="71"/>
      <c r="I67" s="71"/>
      <c r="J67" s="71"/>
      <c r="K67" s="72"/>
      <c r="L67" s="34">
        <v>25</v>
      </c>
      <c r="M67" s="34" t="s">
        <v>48</v>
      </c>
      <c r="N67" s="44">
        <v>290</v>
      </c>
      <c r="O67" s="34" t="s">
        <v>48</v>
      </c>
      <c r="P67" s="35">
        <v>7250</v>
      </c>
    </row>
    <row r="68" spans="2:17" s="1" customFormat="1" ht="21" customHeight="1" thickBot="1" x14ac:dyDescent="0.3">
      <c r="B68" s="61" t="s">
        <v>17</v>
      </c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29">
        <f>SUM(P26:P67)</f>
        <v>33800.359999999746</v>
      </c>
    </row>
    <row r="69" spans="2:17" s="1" customFormat="1" x14ac:dyDescent="0.25">
      <c r="P69" s="21"/>
    </row>
    <row r="70" spans="2:17" s="7" customFormat="1" ht="20.25" x14ac:dyDescent="0.25">
      <c r="B70" s="46" t="s">
        <v>21</v>
      </c>
      <c r="C70" s="46"/>
      <c r="D70" s="3"/>
      <c r="E70" s="3"/>
      <c r="F70" s="4"/>
      <c r="G70" s="4"/>
      <c r="H70" s="5"/>
      <c r="I70" s="6"/>
      <c r="P70" s="36">
        <f>+P68+'C2'!P71+'C1'!P72</f>
        <v>129345.13375939825</v>
      </c>
      <c r="Q70" s="1"/>
    </row>
    <row r="71" spans="2:17" s="7" customFormat="1" ht="20.25" x14ac:dyDescent="0.25">
      <c r="B71" s="47" t="s">
        <v>22</v>
      </c>
      <c r="C71" s="46"/>
      <c r="D71" s="3"/>
      <c r="E71" s="3"/>
      <c r="F71" s="4"/>
      <c r="G71" s="8"/>
      <c r="H71" s="3"/>
      <c r="I71" s="3"/>
      <c r="Q71" s="1"/>
    </row>
    <row r="72" spans="2:17" s="7" customFormat="1" ht="21" x14ac:dyDescent="0.25">
      <c r="B72" s="46"/>
      <c r="C72" s="46"/>
      <c r="D72" s="3"/>
      <c r="E72" s="3"/>
      <c r="F72" s="4"/>
      <c r="G72" s="8"/>
      <c r="H72" s="3"/>
      <c r="I72" s="3"/>
      <c r="P72" s="45"/>
      <c r="Q72" s="1"/>
    </row>
    <row r="73" spans="2:17" s="1" customFormat="1" ht="20.25" x14ac:dyDescent="0.25">
      <c r="B73" s="46" t="s">
        <v>23</v>
      </c>
      <c r="C73" s="46"/>
      <c r="D73" s="3"/>
      <c r="E73" s="5"/>
      <c r="F73" s="9"/>
      <c r="G73" s="10"/>
      <c r="H73" s="3"/>
      <c r="I73" s="3"/>
      <c r="J73" s="7"/>
      <c r="K73" s="7"/>
      <c r="L73" s="7"/>
      <c r="M73" s="7"/>
      <c r="N73" s="7"/>
      <c r="O73" s="7"/>
      <c r="P73" s="7"/>
    </row>
    <row r="74" spans="2:17" s="1" customFormat="1" ht="20.25" x14ac:dyDescent="0.25">
      <c r="B74" s="48" t="s">
        <v>24</v>
      </c>
      <c r="C74" s="49" t="s">
        <v>30</v>
      </c>
      <c r="D74" s="13"/>
      <c r="E74" s="13"/>
      <c r="F74" s="14"/>
      <c r="G74" s="8"/>
      <c r="H74" s="3"/>
      <c r="I74" s="3"/>
      <c r="J74" s="7"/>
      <c r="K74" s="7"/>
      <c r="L74" s="7"/>
      <c r="M74" s="7"/>
      <c r="N74" s="7"/>
      <c r="O74" s="7"/>
      <c r="P74" s="7"/>
    </row>
    <row r="75" spans="2:17" s="1" customFormat="1" ht="20.25" x14ac:dyDescent="0.25">
      <c r="B75" s="50"/>
      <c r="C75" s="49" t="s">
        <v>31</v>
      </c>
      <c r="D75" s="13"/>
      <c r="E75" s="13"/>
      <c r="F75" s="14"/>
      <c r="G75" s="8"/>
      <c r="H75" s="3"/>
      <c r="I75" s="3"/>
      <c r="J75" s="7"/>
      <c r="K75" s="7"/>
      <c r="L75" s="7"/>
      <c r="M75" s="7"/>
      <c r="N75" s="7"/>
      <c r="O75" s="7"/>
      <c r="P75" s="7"/>
    </row>
    <row r="76" spans="2:17" s="1" customFormat="1" ht="20.25" x14ac:dyDescent="0.25">
      <c r="B76" s="50"/>
      <c r="C76" s="46"/>
      <c r="D76" s="3"/>
      <c r="E76" s="3"/>
      <c r="F76" s="15"/>
      <c r="G76" s="8"/>
      <c r="H76" s="5"/>
      <c r="I76" s="5"/>
      <c r="J76" s="7"/>
      <c r="K76" s="7"/>
      <c r="L76" s="7"/>
      <c r="M76" s="7"/>
      <c r="N76" s="7"/>
      <c r="O76" s="7"/>
      <c r="P76" s="7"/>
    </row>
    <row r="77" spans="2:17" s="1" customFormat="1" ht="20.25" x14ac:dyDescent="0.25">
      <c r="B77" s="48" t="s">
        <v>24</v>
      </c>
      <c r="C77" s="49" t="s">
        <v>32</v>
      </c>
      <c r="D77" s="13"/>
      <c r="E77" s="13"/>
      <c r="F77" s="15"/>
      <c r="G77" s="8"/>
      <c r="H77" s="5"/>
      <c r="I77" s="5"/>
      <c r="J77" s="7"/>
      <c r="K77" s="7"/>
      <c r="L77" s="7"/>
      <c r="M77" s="7"/>
      <c r="N77" s="7"/>
      <c r="O77" s="7"/>
      <c r="P77" s="7"/>
    </row>
    <row r="78" spans="2:17" s="1" customFormat="1" ht="20.25" x14ac:dyDescent="0.25">
      <c r="B78" s="50"/>
      <c r="C78" s="49" t="s">
        <v>33</v>
      </c>
      <c r="D78" s="13"/>
      <c r="E78" s="13"/>
      <c r="F78" s="15"/>
      <c r="G78" s="8"/>
      <c r="H78" s="5"/>
      <c r="I78" s="5"/>
      <c r="J78" s="7"/>
      <c r="K78" s="7"/>
      <c r="L78" s="7"/>
      <c r="M78" s="7"/>
      <c r="N78" s="7"/>
      <c r="O78" s="7"/>
      <c r="P78" s="7"/>
    </row>
    <row r="79" spans="2:17" s="1" customFormat="1" ht="20.25" x14ac:dyDescent="0.25">
      <c r="B79" s="50"/>
      <c r="C79" s="49" t="s">
        <v>25</v>
      </c>
      <c r="D79" s="13"/>
      <c r="E79" s="13"/>
      <c r="F79" s="15"/>
      <c r="G79" s="8"/>
      <c r="H79" s="5"/>
      <c r="I79" s="5"/>
      <c r="J79" s="7"/>
      <c r="K79" s="7"/>
      <c r="L79" s="7"/>
      <c r="M79" s="7"/>
      <c r="N79" s="7"/>
      <c r="O79" s="7"/>
      <c r="P79" s="7"/>
    </row>
    <row r="80" spans="2:17" s="1" customFormat="1" ht="20.25" x14ac:dyDescent="0.25">
      <c r="B80" s="46"/>
      <c r="C80" s="49" t="s">
        <v>26</v>
      </c>
      <c r="D80" s="3"/>
      <c r="E80" s="3"/>
      <c r="F80" s="15"/>
      <c r="G80" s="8"/>
      <c r="H80" s="5"/>
      <c r="I80" s="5"/>
      <c r="J80" s="7"/>
      <c r="K80" s="7"/>
      <c r="L80" s="7"/>
      <c r="M80" s="7"/>
      <c r="N80" s="7"/>
      <c r="O80" s="7"/>
      <c r="P80" s="7"/>
    </row>
    <row r="81" spans="2:16" s="1" customFormat="1" ht="20.25" x14ac:dyDescent="0.25">
      <c r="B81" s="46"/>
      <c r="C81" s="49" t="s">
        <v>27</v>
      </c>
      <c r="D81" s="3"/>
      <c r="E81" s="3"/>
      <c r="F81" s="15"/>
      <c r="G81" s="8"/>
      <c r="H81" s="5"/>
      <c r="I81" s="5"/>
      <c r="J81" s="7"/>
      <c r="K81" s="7"/>
      <c r="L81" s="7"/>
      <c r="M81" s="7"/>
      <c r="N81" s="7"/>
      <c r="O81" s="7"/>
      <c r="P81" s="7"/>
    </row>
    <row r="82" spans="2:16" s="1" customFormat="1" ht="20.25" x14ac:dyDescent="0.25">
      <c r="B82" s="46"/>
      <c r="C82" s="46"/>
      <c r="D82" s="3"/>
      <c r="E82" s="3"/>
      <c r="F82" s="15"/>
      <c r="G82" s="8"/>
      <c r="H82" s="5"/>
      <c r="I82" s="5"/>
      <c r="J82" s="7"/>
      <c r="K82" s="7"/>
      <c r="L82" s="7"/>
      <c r="M82" s="7"/>
      <c r="N82" s="7"/>
      <c r="O82" s="7"/>
      <c r="P82" s="7"/>
    </row>
    <row r="83" spans="2:16" s="1" customFormat="1" ht="20.25" x14ac:dyDescent="0.25">
      <c r="B83" s="51" t="s">
        <v>24</v>
      </c>
      <c r="C83" s="46" t="s">
        <v>34</v>
      </c>
      <c r="D83" s="3"/>
      <c r="E83" s="3"/>
      <c r="F83" s="15"/>
      <c r="G83" s="8"/>
      <c r="H83" s="5"/>
      <c r="I83" s="5"/>
      <c r="J83" s="7"/>
      <c r="K83" s="7"/>
      <c r="L83" s="7"/>
      <c r="M83" s="7"/>
      <c r="N83" s="7"/>
      <c r="O83" s="7"/>
      <c r="P83" s="7"/>
    </row>
    <row r="84" spans="2:16" s="1" customFormat="1" ht="20.25" x14ac:dyDescent="0.25">
      <c r="B84" s="52"/>
      <c r="C84" s="49" t="s">
        <v>35</v>
      </c>
      <c r="D84" s="13"/>
      <c r="E84" s="16"/>
      <c r="F84" s="17"/>
      <c r="G84" s="12"/>
      <c r="H84" s="11"/>
      <c r="I84" s="11"/>
      <c r="J84" s="7"/>
      <c r="K84" s="7"/>
      <c r="L84" s="7"/>
      <c r="M84" s="7"/>
      <c r="N84" s="7"/>
      <c r="O84" s="7"/>
      <c r="P84" s="7"/>
    </row>
    <row r="85" spans="2:16" s="1" customFormat="1" ht="20.25" x14ac:dyDescent="0.25">
      <c r="B85" s="50"/>
      <c r="C85" s="46" t="s">
        <v>36</v>
      </c>
      <c r="D85" s="3"/>
      <c r="E85" s="18"/>
      <c r="F85" s="15"/>
      <c r="G85" s="8"/>
      <c r="H85" s="5"/>
      <c r="I85" s="5"/>
      <c r="J85" s="7"/>
      <c r="K85" s="7"/>
      <c r="L85" s="7"/>
      <c r="M85" s="7"/>
      <c r="N85" s="7"/>
      <c r="O85" s="7"/>
      <c r="P85" s="7"/>
    </row>
    <row r="86" spans="2:16" s="1" customFormat="1" x14ac:dyDescent="0.25"/>
    <row r="87" spans="2:16" s="1" customFormat="1" x14ac:dyDescent="0.25"/>
    <row r="88" spans="2:16" s="1" customFormat="1" x14ac:dyDescent="0.25"/>
    <row r="89" spans="2:16" s="1" customFormat="1" x14ac:dyDescent="0.25"/>
    <row r="90" spans="2:16" s="1" customFormat="1" x14ac:dyDescent="0.25"/>
    <row r="91" spans="2:16" s="1" customFormat="1" x14ac:dyDescent="0.25"/>
    <row r="92" spans="2:16" s="1" customFormat="1" x14ac:dyDescent="0.25"/>
    <row r="93" spans="2:16" s="1" customFormat="1" x14ac:dyDescent="0.25"/>
    <row r="94" spans="2:16" s="1" customFormat="1" x14ac:dyDescent="0.25"/>
    <row r="95" spans="2:16" s="1" customFormat="1" x14ac:dyDescent="0.25"/>
    <row r="96" spans="2:1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</sheetData>
  <mergeCells count="53">
    <mergeCell ref="C20:D20"/>
    <mergeCell ref="N20:O20"/>
    <mergeCell ref="B5:P7"/>
    <mergeCell ref="B8:P9"/>
    <mergeCell ref="N17:O17"/>
    <mergeCell ref="N18:O18"/>
    <mergeCell ref="N19:O19"/>
    <mergeCell ref="D26:K26"/>
    <mergeCell ref="D27:K27"/>
    <mergeCell ref="D25:K25"/>
    <mergeCell ref="L25:M25"/>
    <mergeCell ref="N25:O25"/>
    <mergeCell ref="D39:K39"/>
    <mergeCell ref="D28:K28"/>
    <mergeCell ref="D29:K29"/>
    <mergeCell ref="D30:K30"/>
    <mergeCell ref="D31:K31"/>
    <mergeCell ref="D32:K32"/>
    <mergeCell ref="D33:K33"/>
    <mergeCell ref="D34:K34"/>
    <mergeCell ref="D35:K35"/>
    <mergeCell ref="D36:K36"/>
    <mergeCell ref="D37:K37"/>
    <mergeCell ref="D38:K38"/>
    <mergeCell ref="D51:K51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  <mergeCell ref="D49:K49"/>
    <mergeCell ref="D50:K50"/>
    <mergeCell ref="D63:K63"/>
    <mergeCell ref="D52:K52"/>
    <mergeCell ref="D53:K53"/>
    <mergeCell ref="D54:K54"/>
    <mergeCell ref="D55:K55"/>
    <mergeCell ref="D56:K56"/>
    <mergeCell ref="D57:K57"/>
    <mergeCell ref="D58:K58"/>
    <mergeCell ref="D59:K59"/>
    <mergeCell ref="D60:K60"/>
    <mergeCell ref="D61:K61"/>
    <mergeCell ref="D62:K62"/>
    <mergeCell ref="D64:K64"/>
    <mergeCell ref="D65:K65"/>
    <mergeCell ref="D66:K66"/>
    <mergeCell ref="D67:K67"/>
    <mergeCell ref="B68:O68"/>
  </mergeCells>
  <hyperlinks>
    <hyperlink ref="C22" r:id="rId1" xr:uid="{E72657E5-AB0F-4E2E-ADBF-228AC2F225C2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40" fitToHeight="0"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C1</vt:lpstr>
      <vt:lpstr>C2</vt:lpstr>
      <vt:lpstr>C3</vt:lpstr>
      <vt:lpstr>'C1'!Área_de_impresión</vt:lpstr>
      <vt:lpstr>'C2'!Área_de_impresión</vt:lpstr>
      <vt:lpstr>'C3'!Área_de_impresión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u201726213 (Santa Cruz Quillay, Alexis Fabian)</cp:lastModifiedBy>
  <cp:lastPrinted>2025-11-05T21:44:11Z</cp:lastPrinted>
  <dcterms:created xsi:type="dcterms:W3CDTF">2022-08-23T23:01:15Z</dcterms:created>
  <dcterms:modified xsi:type="dcterms:W3CDTF">2025-11-06T00:09:02Z</dcterms:modified>
</cp:coreProperties>
</file>