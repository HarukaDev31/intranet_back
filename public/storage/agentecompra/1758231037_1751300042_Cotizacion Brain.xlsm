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 business\Desktop\Cotizaciones\Consolidado #10\Brain Hans Rincon\"/>
    </mc:Choice>
  </mc:AlternateContent>
  <xr:revisionPtr revIDLastSave="0" documentId="13_ncr:1_{22C699C0-5BA8-4B4D-B9A1-7904E0E7D0A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2" r:id="rId1"/>
    <sheet name="2" sheetId="1" r:id="rId2"/>
  </sheets>
  <definedNames>
    <definedName name="_xleta.AND" hidden="1" xlm="1">#NAME?</definedName>
    <definedName name="_xleta.N" hidden="1" xlm="1">#NAME?</definedName>
    <definedName name="_xlnm.Print_Area" localSheetId="0">'1'!$A$1:$K$118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1" l="1"/>
  <c r="F18" i="1"/>
  <c r="G18" i="1"/>
  <c r="H18" i="1"/>
  <c r="I18" i="1"/>
  <c r="J18" i="1"/>
  <c r="K18" i="1"/>
  <c r="L18" i="1"/>
  <c r="E19" i="1"/>
  <c r="F19" i="1"/>
  <c r="G19" i="1"/>
  <c r="H19" i="1"/>
  <c r="I19" i="1"/>
  <c r="J19" i="1"/>
  <c r="K19" i="1"/>
  <c r="L19" i="1"/>
  <c r="E31" i="1"/>
  <c r="F31" i="1"/>
  <c r="G31" i="1"/>
  <c r="H31" i="1"/>
  <c r="I31" i="1"/>
  <c r="J31" i="1"/>
  <c r="K31" i="1"/>
  <c r="L31" i="1"/>
  <c r="E50" i="1"/>
  <c r="F50" i="1"/>
  <c r="G50" i="1"/>
  <c r="H50" i="1"/>
  <c r="I50" i="1"/>
  <c r="J50" i="1"/>
  <c r="K50" i="1"/>
  <c r="L50" i="1"/>
  <c r="E52" i="1"/>
  <c r="F52" i="1"/>
  <c r="G52" i="1"/>
  <c r="H52" i="1"/>
  <c r="I52" i="1"/>
  <c r="J52" i="1"/>
  <c r="K52" i="1"/>
  <c r="L52" i="1"/>
  <c r="C18" i="1"/>
  <c r="D18" i="1"/>
  <c r="C19" i="1"/>
  <c r="D19" i="1"/>
  <c r="F46" i="2" l="1"/>
  <c r="O46" i="2" s="1"/>
  <c r="F45" i="2"/>
  <c r="O45" i="2" s="1"/>
  <c r="F44" i="2"/>
  <c r="O44" i="2" s="1"/>
  <c r="B46" i="2"/>
  <c r="N46" i="2" s="1"/>
  <c r="B45" i="2"/>
  <c r="N45" i="2" s="1"/>
  <c r="B44" i="2"/>
  <c r="N44" i="2" s="1"/>
  <c r="E46" i="2"/>
  <c r="E45" i="2"/>
  <c r="E44" i="2"/>
  <c r="M4" i="1" l="1"/>
  <c r="M8" i="1"/>
  <c r="I11" i="2" s="1"/>
  <c r="M5" i="1"/>
  <c r="I8" i="2" s="1"/>
  <c r="M6" i="1"/>
  <c r="I9" i="2" s="1"/>
  <c r="T12" i="2" l="1"/>
  <c r="S11" i="2" a="1"/>
  <c r="S11" i="2" s="1"/>
  <c r="U22" i="1"/>
  <c r="E40" i="2"/>
  <c r="E41" i="2"/>
  <c r="E42" i="2"/>
  <c r="E43" i="2"/>
  <c r="M14" i="1"/>
  <c r="C31" i="1"/>
  <c r="E39" i="2"/>
  <c r="B39" i="2"/>
  <c r="N39" i="2" s="1"/>
  <c r="F39" i="2"/>
  <c r="O39" i="2" s="1"/>
  <c r="B40" i="2"/>
  <c r="N40" i="2" s="1"/>
  <c r="F40" i="2"/>
  <c r="O40" i="2" s="1"/>
  <c r="B41" i="2"/>
  <c r="N41" i="2" s="1"/>
  <c r="F41" i="2"/>
  <c r="O41" i="2" s="1"/>
  <c r="B42" i="2"/>
  <c r="N42" i="2" s="1"/>
  <c r="F42" i="2"/>
  <c r="O42" i="2" s="1"/>
  <c r="B43" i="2"/>
  <c r="N43" i="2" s="1"/>
  <c r="F43" i="2"/>
  <c r="O43" i="2" s="1"/>
  <c r="F38" i="2"/>
  <c r="O38" i="2" s="1"/>
  <c r="E9" i="2"/>
  <c r="F37" i="2"/>
  <c r="O37" i="2" s="1"/>
  <c r="B38" i="2"/>
  <c r="N38" i="2" s="1"/>
  <c r="B37" i="2"/>
  <c r="N37" i="2" s="1"/>
  <c r="D31" i="1"/>
  <c r="D50" i="1"/>
  <c r="D52" i="1"/>
  <c r="E38" i="2" s="1"/>
  <c r="M17" i="1"/>
  <c r="M13" i="1"/>
  <c r="M12" i="1"/>
  <c r="S13" i="2" l="1"/>
  <c r="T13" i="2" s="1"/>
  <c r="S10" i="2" a="1"/>
  <c r="S10" i="2" s="1"/>
  <c r="T10" i="2" s="1"/>
  <c r="S14" i="2"/>
  <c r="S16" i="2" l="1"/>
  <c r="V19" i="1" l="1"/>
  <c r="T18" i="1"/>
  <c r="T19" i="1"/>
  <c r="T20" i="1"/>
  <c r="T21" i="1"/>
  <c r="T22" i="1"/>
  <c r="T17" i="1"/>
  <c r="U19" i="1"/>
  <c r="P16" i="1"/>
  <c r="V17" i="1"/>
  <c r="T11" i="2"/>
  <c r="V18" i="1" s="1"/>
  <c r="T16" i="2" l="1"/>
  <c r="T14" i="2"/>
  <c r="V21" i="1" s="1"/>
  <c r="U20" i="1"/>
  <c r="U21" i="1"/>
  <c r="W21" i="1" s="1"/>
  <c r="W19" i="1"/>
  <c r="U18" i="1"/>
  <c r="U17" i="1"/>
  <c r="M21" i="1" s="1"/>
  <c r="I23" i="2"/>
  <c r="I20" i="2"/>
  <c r="C52" i="1"/>
  <c r="E37" i="2" s="1"/>
  <c r="E47" i="2" s="1"/>
  <c r="M18" i="1"/>
  <c r="C50" i="1"/>
  <c r="H20" i="1" l="1"/>
  <c r="H44" i="1" s="1"/>
  <c r="I20" i="1"/>
  <c r="I44" i="1" s="1"/>
  <c r="E20" i="1"/>
  <c r="E44" i="1" s="1"/>
  <c r="L20" i="1"/>
  <c r="L44" i="1" s="1"/>
  <c r="F20" i="1"/>
  <c r="F44" i="1" s="1"/>
  <c r="J20" i="1"/>
  <c r="J44" i="1" s="1"/>
  <c r="K20" i="1"/>
  <c r="K44" i="1" s="1"/>
  <c r="G20" i="1"/>
  <c r="G44" i="1" s="1"/>
  <c r="M45" i="1"/>
  <c r="V20" i="1"/>
  <c r="W17" i="1"/>
  <c r="W18" i="1"/>
  <c r="W20" i="1"/>
  <c r="M31" i="1"/>
  <c r="J23" i="2" s="1"/>
  <c r="M19" i="1"/>
  <c r="L21" i="1" l="1"/>
  <c r="L23" i="1" s="1"/>
  <c r="H21" i="1"/>
  <c r="H22" i="1" s="1"/>
  <c r="E21" i="1"/>
  <c r="E23" i="1" s="1"/>
  <c r="K21" i="1"/>
  <c r="J21" i="1"/>
  <c r="I21" i="1"/>
  <c r="F21" i="1"/>
  <c r="G45" i="1"/>
  <c r="E45" i="1"/>
  <c r="F45" i="1"/>
  <c r="H45" i="1"/>
  <c r="I45" i="1"/>
  <c r="J45" i="1"/>
  <c r="K45" i="1"/>
  <c r="L45" i="1"/>
  <c r="G21" i="1"/>
  <c r="J31" i="2"/>
  <c r="N21" i="2" s="1"/>
  <c r="D20" i="1"/>
  <c r="D21" i="1" s="1"/>
  <c r="M24" i="1"/>
  <c r="C20" i="1"/>
  <c r="H23" i="1" l="1"/>
  <c r="L22" i="1"/>
  <c r="E22" i="1"/>
  <c r="K24" i="1"/>
  <c r="E24" i="1"/>
  <c r="E26" i="1" s="1"/>
  <c r="F24" i="1"/>
  <c r="G24" i="1"/>
  <c r="I24" i="1"/>
  <c r="H24" i="1"/>
  <c r="H25" i="1" s="1"/>
  <c r="J24" i="1"/>
  <c r="L24" i="1"/>
  <c r="L26" i="1" s="1"/>
  <c r="G22" i="1"/>
  <c r="G23" i="1"/>
  <c r="F22" i="1"/>
  <c r="F23" i="1"/>
  <c r="I22" i="1"/>
  <c r="I23" i="1"/>
  <c r="J23" i="1"/>
  <c r="J22" i="1"/>
  <c r="K23" i="1"/>
  <c r="K22" i="1"/>
  <c r="O50" i="2"/>
  <c r="C44" i="1"/>
  <c r="C21" i="1"/>
  <c r="C23" i="1" s="1"/>
  <c r="J15" i="2"/>
  <c r="D22" i="1"/>
  <c r="D44" i="1"/>
  <c r="D45" i="1" s="1"/>
  <c r="D24" i="1"/>
  <c r="C24" i="1"/>
  <c r="E25" i="1" l="1"/>
  <c r="E34" i="1" s="1"/>
  <c r="E36" i="1" s="1"/>
  <c r="H26" i="1"/>
  <c r="H34" i="1" s="1"/>
  <c r="H35" i="1" s="1"/>
  <c r="F26" i="1"/>
  <c r="I26" i="1"/>
  <c r="I25" i="1"/>
  <c r="F25" i="1"/>
  <c r="L25" i="1"/>
  <c r="K25" i="1"/>
  <c r="J25" i="1"/>
  <c r="K26" i="1"/>
  <c r="J26" i="1"/>
  <c r="G26" i="1"/>
  <c r="G25" i="1"/>
  <c r="C26" i="1"/>
  <c r="C22" i="1"/>
  <c r="D25" i="1"/>
  <c r="D23" i="1"/>
  <c r="D26" i="1" s="1"/>
  <c r="J14" i="2"/>
  <c r="J30" i="2" s="1"/>
  <c r="F34" i="1" l="1"/>
  <c r="F36" i="1" s="1"/>
  <c r="I34" i="1"/>
  <c r="I35" i="1" s="1"/>
  <c r="D34" i="1"/>
  <c r="D35" i="1" s="1"/>
  <c r="J34" i="1"/>
  <c r="J35" i="1" s="1"/>
  <c r="K34" i="1"/>
  <c r="G34" i="1"/>
  <c r="G35" i="1" s="1"/>
  <c r="L34" i="1"/>
  <c r="L36" i="1" s="1"/>
  <c r="E35" i="1"/>
  <c r="H36" i="1"/>
  <c r="H37" i="1" s="1"/>
  <c r="J16" i="2"/>
  <c r="C45" i="1"/>
  <c r="F35" i="1" l="1"/>
  <c r="F37" i="1" s="1"/>
  <c r="I36" i="1"/>
  <c r="I37" i="1" s="1"/>
  <c r="I38" i="1" s="1"/>
  <c r="I51" i="1" s="1"/>
  <c r="I53" i="1" s="1"/>
  <c r="I54" i="1" s="1"/>
  <c r="J36" i="1"/>
  <c r="J37" i="1" s="1"/>
  <c r="J38" i="1" s="1"/>
  <c r="J51" i="1" s="1"/>
  <c r="J53" i="1" s="1"/>
  <c r="J54" i="1" s="1"/>
  <c r="G36" i="1"/>
  <c r="G37" i="1" s="1"/>
  <c r="G38" i="1" s="1"/>
  <c r="G51" i="1" s="1"/>
  <c r="G53" i="1" s="1"/>
  <c r="G54" i="1" s="1"/>
  <c r="H38" i="1"/>
  <c r="H51" i="1" s="1"/>
  <c r="H53" i="1" s="1"/>
  <c r="H54" i="1" s="1"/>
  <c r="K36" i="1"/>
  <c r="E37" i="1"/>
  <c r="E38" i="1" s="1"/>
  <c r="E51" i="1" s="1"/>
  <c r="E53" i="1" s="1"/>
  <c r="E54" i="1" s="1"/>
  <c r="K35" i="1"/>
  <c r="L35" i="1"/>
  <c r="L37" i="1" s="1"/>
  <c r="L38" i="1" s="1"/>
  <c r="L51" i="1" s="1"/>
  <c r="L53" i="1" s="1"/>
  <c r="L54" i="1" s="1"/>
  <c r="D36" i="1"/>
  <c r="D37" i="1" s="1"/>
  <c r="C25" i="1"/>
  <c r="F38" i="1" l="1"/>
  <c r="F51" i="1" s="1"/>
  <c r="F53" i="1" s="1"/>
  <c r="F54" i="1" s="1"/>
  <c r="C34" i="1"/>
  <c r="C35" i="1" s="1"/>
  <c r="K37" i="1"/>
  <c r="K38" i="1" s="1"/>
  <c r="K51" i="1" s="1"/>
  <c r="K53" i="1" s="1"/>
  <c r="K54" i="1" s="1"/>
  <c r="D38" i="1"/>
  <c r="D51" i="1" s="1"/>
  <c r="D53" i="1" s="1"/>
  <c r="D54" i="1" s="1"/>
  <c r="H46" i="2"/>
  <c r="H41" i="2"/>
  <c r="J41" i="2" s="1"/>
  <c r="M23" i="1"/>
  <c r="M22" i="1"/>
  <c r="M25" i="1"/>
  <c r="H38" i="2" l="1"/>
  <c r="P38" i="2" s="1"/>
  <c r="Q38" i="2" s="1"/>
  <c r="H45" i="2"/>
  <c r="I45" i="2" s="1"/>
  <c r="H39" i="2"/>
  <c r="I39" i="2" s="1"/>
  <c r="H40" i="2"/>
  <c r="P40" i="2" s="1"/>
  <c r="Q40" i="2" s="1"/>
  <c r="H44" i="2"/>
  <c r="J44" i="2" s="1"/>
  <c r="C36" i="1"/>
  <c r="C37" i="1" s="1"/>
  <c r="I46" i="2"/>
  <c r="J46" i="2"/>
  <c r="P46" i="2"/>
  <c r="Q46" i="2" s="1"/>
  <c r="P41" i="2"/>
  <c r="Q41" i="2" s="1"/>
  <c r="H43" i="2"/>
  <c r="J43" i="2" s="1"/>
  <c r="I41" i="2"/>
  <c r="H42" i="2"/>
  <c r="J42" i="2" s="1"/>
  <c r="M26" i="1"/>
  <c r="P39" i="2" l="1"/>
  <c r="Q39" i="2" s="1"/>
  <c r="J39" i="2"/>
  <c r="J45" i="2"/>
  <c r="I38" i="2"/>
  <c r="J38" i="2"/>
  <c r="P45" i="2"/>
  <c r="Q45" i="2" s="1"/>
  <c r="J40" i="2"/>
  <c r="I40" i="2"/>
  <c r="P44" i="2"/>
  <c r="Q44" i="2" s="1"/>
  <c r="P42" i="2"/>
  <c r="Q42" i="2" s="1"/>
  <c r="P43" i="2"/>
  <c r="Q43" i="2" s="1"/>
  <c r="I43" i="2"/>
  <c r="I44" i="2"/>
  <c r="I42" i="2"/>
  <c r="M34" i="1"/>
  <c r="J20" i="2" s="1"/>
  <c r="M36" i="1"/>
  <c r="J22" i="2" s="1"/>
  <c r="M35" i="1"/>
  <c r="J21" i="2" s="1"/>
  <c r="C38" i="1" l="1"/>
  <c r="C51" i="1" s="1"/>
  <c r="J24" i="2"/>
  <c r="M37" i="1" l="1"/>
  <c r="J26" i="2" s="1"/>
  <c r="J27" i="2" s="1"/>
  <c r="M38" i="1"/>
  <c r="J32" i="2" l="1"/>
  <c r="O51" i="2" s="1"/>
  <c r="O53" i="2" s="1"/>
  <c r="M51" i="1"/>
  <c r="C53" i="1"/>
  <c r="J33" i="2" l="1"/>
  <c r="C54" i="1"/>
  <c r="H37" i="2"/>
  <c r="J37" i="2" l="1"/>
  <c r="P37" i="2"/>
  <c r="Q37" i="2" s="1"/>
  <c r="I37" i="2"/>
  <c r="I47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M21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Usuario: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80% del de detalle de carga</t>
        </r>
      </text>
    </comment>
    <comment ref="B2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&gt;$5000 
Seguro 100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<sst xmlns="http://schemas.openxmlformats.org/spreadsheetml/2006/main" count="200" uniqueCount="145">
  <si>
    <t>VALOR UNITARIO</t>
  </si>
  <si>
    <t>CANTIDAD</t>
  </si>
  <si>
    <t>VALOR FOB</t>
  </si>
  <si>
    <t>DISTRIBUCIÓN %</t>
  </si>
  <si>
    <t>FLETE</t>
  </si>
  <si>
    <t>VALOR CFR</t>
  </si>
  <si>
    <t>SEGURO</t>
  </si>
  <si>
    <t>VALOR CIF</t>
  </si>
  <si>
    <t>TOTAL</t>
  </si>
  <si>
    <t>AD VALOREM</t>
  </si>
  <si>
    <t>PERCEPCIÓN 3.5%</t>
  </si>
  <si>
    <t>TRIBUTOS APLICABLES</t>
  </si>
  <si>
    <t>CALCULOS DE TRIBUTOS</t>
  </si>
  <si>
    <t>IGV       16%</t>
  </si>
  <si>
    <t>IPM       2%</t>
  </si>
  <si>
    <t>ITEM</t>
  </si>
  <si>
    <t>COSTOS DESTINOS</t>
  </si>
  <si>
    <t>COSTO TOTAL DE IMPORTACIÓN</t>
  </si>
  <si>
    <t>COSTO UNITARIO</t>
  </si>
  <si>
    <t>COSTO TOTAL</t>
  </si>
  <si>
    <t>COSTO SOLES</t>
  </si>
  <si>
    <t>TC</t>
  </si>
  <si>
    <t>CLIENTE:</t>
  </si>
  <si>
    <t>TELEFONO:</t>
  </si>
  <si>
    <t>SERVICIO:</t>
  </si>
  <si>
    <t>CARGA CONSOLIDADA</t>
  </si>
  <si>
    <t>ORIGEN:</t>
  </si>
  <si>
    <t>CHINA</t>
  </si>
  <si>
    <t>VOLUMEN:</t>
  </si>
  <si>
    <t>PESO:</t>
  </si>
  <si>
    <t>N° CAJAS:</t>
  </si>
  <si>
    <t>CALCULO DE BASE IMPONIBLE</t>
  </si>
  <si>
    <t>FLETE INTERNACIONAL + SEGURO</t>
  </si>
  <si>
    <t>MONEDA</t>
  </si>
  <si>
    <t>MONTO</t>
  </si>
  <si>
    <t>USD</t>
  </si>
  <si>
    <t>VALOR DE CARGA</t>
  </si>
  <si>
    <t>ADVALOREM</t>
  </si>
  <si>
    <t>IGV</t>
  </si>
  <si>
    <t>IPM</t>
  </si>
  <si>
    <t>ANTIDUMPING</t>
  </si>
  <si>
    <t>PERCEPCIÓN</t>
  </si>
  <si>
    <t>%</t>
  </si>
  <si>
    <t>SUB TOTAL</t>
  </si>
  <si>
    <t>IMPUESTOS</t>
  </si>
  <si>
    <t>TÉRMINOS Y CONDICIONES:</t>
  </si>
  <si>
    <t># ITEM</t>
  </si>
  <si>
    <t xml:space="preserve">1. Todos los pagos se realizan en dólares. </t>
  </si>
  <si>
    <t>3. No somos responsables de retraso del proveedor para entregar la carga.</t>
  </si>
  <si>
    <t>5.Los pagos realizados fuera de fecha están sujetos a un recargo de S/.30 por día.</t>
  </si>
  <si>
    <t>9.No hay opción de reembolso.</t>
  </si>
  <si>
    <t>6.Se procederá a cobrar S/.30 x día de almacenaje si el cliente no recoge su pedido en el plazo acordado.</t>
  </si>
  <si>
    <t>se procederá a realizar las acciones legales del caso.</t>
  </si>
  <si>
    <t>NOTAS:</t>
  </si>
  <si>
    <t>TARIFA</t>
  </si>
  <si>
    <t xml:space="preserve"> No se aceptan marcas con medidas  de frontera. </t>
  </si>
  <si>
    <t>2.Todas las marcas de los productos deben ser verificadas por el cliente,</t>
  </si>
  <si>
    <t>En caso contrario, asumirá el costo de  almacenaje $30 y será embarcado en la próxima salida.</t>
  </si>
  <si>
    <t>4. La carga deberá llegar al almacén –Yiwu en el rango de fecha indicado por su asesor.</t>
  </si>
  <si>
    <t>7.Los envíos a provincia se realizan a través de la agencia Marvisur o Shalom, con previo pago de flete interno.</t>
  </si>
  <si>
    <t>Costo: desde s/20.00</t>
  </si>
  <si>
    <t>coordinador  logístico la tarifa.</t>
  </si>
  <si>
    <t>8. Las cargas mayores a 200 kg x bulto tendrán un costo adicional por manipuleo, consultar con el</t>
  </si>
  <si>
    <t>11. El costo por metro cubico incluye: Flete – Ag. Aduana – Costos en destino.</t>
  </si>
  <si>
    <r>
      <t>13.</t>
    </r>
    <r>
      <rPr>
        <sz val="7"/>
        <color theme="1"/>
        <rFont val="Calibri Light"/>
        <family val="2"/>
        <scheme val="major"/>
      </rPr>
      <t xml:space="preserve"> </t>
    </r>
    <r>
      <rPr>
        <sz val="11"/>
        <color theme="1"/>
        <rFont val="Calibri Light"/>
        <family val="2"/>
        <scheme val="major"/>
      </rPr>
      <t>Los documentos de importación deber ser entregados a tiempo, de lo contrario, el participante no tendrá opción</t>
    </r>
  </si>
  <si>
    <t xml:space="preserve">14.En caso el cliente esté importando una carga que no sea legal y la empresa Pro Business se vea perjudicada, </t>
  </si>
  <si>
    <t xml:space="preserve">15.El cliente estará sujeto a pagar mayor el ad- valorem en caso aduanas aplique cambios de partida. </t>
  </si>
  <si>
    <t>16.Si el cliente no paga los tributos o gastos administrativos de su cotización, Pro Business será dueño total de la carga.</t>
  </si>
  <si>
    <t>17.Los ajustes de valor que aplique la aduana serán asumidos por el cliente.</t>
  </si>
  <si>
    <t>18.No somos responsable de las mermas o faltante de la carga (entregamos su pedido tal cual el proveedor envío).</t>
  </si>
  <si>
    <t>VALOR ZAPATILLAS</t>
  </si>
  <si>
    <t>CFR CALZADO</t>
  </si>
  <si>
    <t>CIF CALZADO</t>
  </si>
  <si>
    <t>MEDIDA</t>
  </si>
  <si>
    <t>3.5%</t>
  </si>
  <si>
    <t>PRECIO U.</t>
  </si>
  <si>
    <t>PRECIO UNIT. (SOLES)</t>
  </si>
  <si>
    <t>NOMBRE PRODUCTO</t>
  </si>
  <si>
    <t>COSTO UNI.</t>
  </si>
  <si>
    <t>NOMBRE:</t>
  </si>
  <si>
    <t>TIPO DE CLIENTE</t>
  </si>
  <si>
    <t>ANTIGUO</t>
  </si>
  <si>
    <t>NUEVO</t>
  </si>
  <si>
    <t>20.Las mercancías son declaradas a nombre de la empresa Grupo Pro Business.</t>
  </si>
  <si>
    <t>21.Se emitirá comprobante (boleta o Factura) de su importación en base a la estrategia de declaración realizada.</t>
  </si>
  <si>
    <t>PILOTO</t>
  </si>
  <si>
    <t>SOCIO</t>
  </si>
  <si>
    <t>DISTRIBUCIÓN</t>
  </si>
  <si>
    <t>TOTAL CBM</t>
  </si>
  <si>
    <t>MANUAL</t>
  </si>
  <si>
    <t>NOMBRE</t>
  </si>
  <si>
    <t>Tarifa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</si>
  <si>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Las fechas brindadas son estimadas, estan sujetas a variación.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</si>
  <si>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No se emite comprobante por concepto de "PERCEPCIÓN, ANTI DUMPING, GESTIÓN DE COMPRA"</t>
    </r>
  </si>
  <si>
    <t>llegue al puerto del Callao.</t>
  </si>
  <si>
    <t>PESO (KG)</t>
  </si>
  <si>
    <t>CANTIDAD CAJONES</t>
  </si>
  <si>
    <t>VALOR DE CARGA (PAGO AL PROVEEDOR)</t>
  </si>
  <si>
    <t>RESUMEN DE COTIZACIÓN</t>
  </si>
  <si>
    <t>MONTO TOTAL</t>
  </si>
  <si>
    <t>SERVICIO DE IMPORTACIÓN  (ORIGEN -FLETE - DESTINO)</t>
  </si>
  <si>
    <t>CALCULO DE TRIBUTOS</t>
  </si>
  <si>
    <t>SIMULACIÓN DEL PRECIO PUESTO EN PERÚ POR PIEZA</t>
  </si>
  <si>
    <t>FECHA:</t>
  </si>
  <si>
    <t>0-0.59</t>
  </si>
  <si>
    <t>0.59-1</t>
  </si>
  <si>
    <t>1-2.09</t>
  </si>
  <si>
    <t>2.1-3.1</t>
  </si>
  <si>
    <t>3.1-4.1</t>
  </si>
  <si>
    <t>4.1- +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</si>
  <si>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El tipo de cambio referencial usado para la conversión a soles es del 3.80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</si>
  <si>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A nosotros se nos pagan el </t>
    </r>
    <r>
      <rPr>
        <b/>
        <sz val="14"/>
        <color theme="1"/>
        <rFont val="Calibri Light"/>
        <family val="2"/>
        <scheme val="major"/>
      </rPr>
      <t>Servicio de Importación + Impuestos</t>
    </r>
    <r>
      <rPr>
        <sz val="14"/>
        <color theme="1"/>
        <rFont val="Calibri Light"/>
        <family val="2"/>
        <scheme val="major"/>
      </rPr>
      <t xml:space="preserve"> una semana antes de que el contenedor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</si>
  <si>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El cálculo de Impuestos puede variar por parte de </t>
    </r>
    <r>
      <rPr>
        <b/>
        <sz val="14"/>
        <color theme="1"/>
        <rFont val="Calibri Light"/>
        <family val="2"/>
        <scheme val="major"/>
      </rPr>
      <t>Aduanas</t>
    </r>
    <r>
      <rPr>
        <sz val="14"/>
        <color theme="1"/>
        <rFont val="Calibri Light"/>
        <family val="2"/>
        <scheme val="major"/>
      </rPr>
      <t>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</si>
  <si>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Si la carga ocupa más volumen de lo cotizado, se le tendrá que </t>
    </r>
    <r>
      <rPr>
        <b/>
        <sz val="14"/>
        <color theme="1"/>
        <rFont val="Calibri Light"/>
        <family val="2"/>
        <scheme val="major"/>
      </rPr>
      <t>actualizar</t>
    </r>
    <r>
      <rPr>
        <sz val="14"/>
        <color theme="1"/>
        <rFont val="Calibri Light"/>
        <family val="2"/>
        <scheme val="major"/>
      </rPr>
      <t xml:space="preserve"> su cotización.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</si>
  <si>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Habrá un costo extra del servicio del *monta cargas* en Lima (aplica para los Pallets)</t>
    </r>
  </si>
  <si>
    <t>CORREO:</t>
  </si>
  <si>
    <t>DNI/RUC:</t>
  </si>
  <si>
    <t>COTIZACION Nº20240000001</t>
  </si>
  <si>
    <t>VALOR CHINA USD</t>
  </si>
  <si>
    <t>VALOR PERU USD</t>
  </si>
  <si>
    <t>VALOR PERU SOLES</t>
  </si>
  <si>
    <t>RESUMEN DE PAGOS DE SERVICIO DE IMPORTACIÓN</t>
  </si>
  <si>
    <t>RESUMEN DE COSTOS UNITARIOS</t>
  </si>
  <si>
    <t>PRIMER PAGO</t>
  </si>
  <si>
    <t>SEGUNDO PAGO</t>
  </si>
  <si>
    <t>Incluye Valor de Carga + Servicio de Consolidado + Pago de Impuestos</t>
  </si>
  <si>
    <t>INVERSION TOTAL</t>
  </si>
  <si>
    <t>FECHAS:</t>
  </si>
  <si>
    <t>12.No se aceptan productos restringido que no cuenten con permiso.</t>
  </si>
  <si>
    <t>de acogerse a un beneficio arancelario (C.O) o pueda tener perdida en aduanas por informacion incompleta.</t>
  </si>
  <si>
    <t>19.La fecha de entrega es aproximada, está sujeto a variaciones de linea naviera o aduanas.</t>
  </si>
  <si>
    <t>10. Si el cliente quiere cambiar la salida de su carga debera informar 4 día antes de la fecha de cierre.</t>
  </si>
  <si>
    <t>22. El cliente tendra un plazo de 24 horas despues de la entrega para presentar algun tipo de reclamo.</t>
  </si>
  <si>
    <t>23. La factura o boleta se emitirá con base al valor CIF de la cotización final.</t>
  </si>
  <si>
    <t>24. Concepto no facturable: Advalorem, Percepción, Anti-Dumping o Gestión de Compra</t>
  </si>
  <si>
    <t>N PROVEEDOR</t>
  </si>
  <si>
    <t>VOL.  X PROVEEDOR</t>
  </si>
  <si>
    <t>TOTALES</t>
  </si>
  <si>
    <t>Brain hans Rincón Soncco</t>
  </si>
  <si>
    <t>Clutch Master Cylinder</t>
  </si>
  <si>
    <t>Brake Caliper</t>
  </si>
  <si>
    <t>Diferencial</t>
  </si>
  <si>
    <t>Rodaje</t>
  </si>
  <si>
    <t>Servicio de Consolidado antes de la Fecha de Corte 30/07</t>
  </si>
  <si>
    <t>Pago de Impuestos antes del Arribo 10/09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</si>
</sst>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-&quot;S/&quot;* #,##0.00_-;\-&quot;S/&quot;* #,##0.00_-;_-&quot;S/&quot;* &quot;-&quot;??_-;_-@_-"/>
    <numFmt numFmtId="165" formatCode="_-[$$-409]* #,##0.00_ ;_-[$$-409]* \-#,##0.00\ ;_-[$$-409]* &quot;-&quot;??_ ;_-@_ "/>
    <numFmt numFmtId="166" formatCode="_-[$$-409]* #,##0.000_ ;_-[$$-409]* \-#,##0.000\ ;_-[$$-409]* &quot;-&quot;??_ ;_-@_ "/>
    <numFmt numFmtId="167" formatCode="[$$-409]#,##0"/>
    <numFmt numFmtId="168" formatCode="_-[$$-540A]* #,##0.00_ ;_-[$$-540A]* \-#,##0.00\ ;_-[$$-540A]* &quot;-&quot;??_ ;_-@_ "/>
    <numFmt numFmtId="169" formatCode="0.00\ &quot;cm&quot;"/>
    <numFmt numFmtId="170" formatCode="#,##0.000\ &quot;m3&quot;"/>
    <numFmt numFmtId="171" formatCode="0.0\ &quot;cm&quot;"/>
    <numFmt numFmtId="172" formatCode="0.0\ &quot;kg&quot;"/>
    <numFmt numFmtId="173" formatCode="_-[$S/-280A]\ * #,##0.00_-;\-[$S/-280A]\ * #,##0.00_-;_-[$S/-280A]\ * &quot;-&quot;??_-;_-@_-"/>
    <numFmt numFmtId="174" formatCode="_-[$$-409]* #,##0.0_ ;_-[$$-409]* \-#,##0.0\ ;_-[$$-409]* &quot;-&quot;??_ ;_-@_ "/>
    <numFmt numFmtId="175" formatCode="_-[$$-540A]* #,##0.000_ ;_-[$$-540A]* \-#,##0.000\ ;_-[$$-540A]* &quot;-&quot;???_ ;_-@_ "/>
    <numFmt numFmtId="176" formatCode="0.00\ &quot;x UC&quot;"/>
    <numFmt numFmtId="177" formatCode="_-[$$-409]* #,##0.000_ ;_-[$$-409]* \-#,##0.000\ ;_-[$$-409]* &quot;-&quot;???_ ;_-@_ "/>
    <numFmt numFmtId="178" formatCode="[$$-540A]#,##0.00"/>
  </numFmts>
  <fonts count="3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新細明體"/>
      <family val="1"/>
      <charset val="136"/>
    </font>
    <font>
      <sz val="12"/>
      <name val="宋体"/>
      <charset val="134"/>
    </font>
    <font>
      <sz val="11"/>
      <color theme="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sz val="11"/>
      <color theme="0"/>
      <name val="Calibri Light"/>
      <family val="2"/>
      <scheme val="major"/>
    </font>
    <font>
      <sz val="8"/>
      <color theme="1"/>
      <name val="Calibri"/>
      <family val="2"/>
      <scheme val="minor"/>
    </font>
    <font>
      <sz val="7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11"/>
      <color rgb="FF000000"/>
      <name val="Calibri"/>
      <family val="2"/>
    </font>
    <font>
      <b/>
      <u/>
      <sz val="14"/>
      <color theme="1"/>
      <name val="Calibri Light"/>
      <family val="2"/>
      <scheme val="major"/>
    </font>
    <font>
      <sz val="14"/>
      <color theme="1"/>
      <name val="Calibri Light"/>
      <family val="2"/>
      <scheme val="major"/>
    </font>
    <font>
      <b/>
      <sz val="16"/>
      <color theme="1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0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3"/>
      <color theme="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0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E37C1A"/>
        <bgColor indexed="64"/>
      </patternFill>
    </fill>
    <fill>
      <patternFill patternType="solid">
        <fgColor theme="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65" fontId="0" fillId="2" borderId="0" xfId="0" applyNumberFormat="1" applyFill="1"/>
    <xf numFmtId="165" fontId="0" fillId="2" borderId="0" xfId="0" applyNumberFormat="1" applyFill="1" applyAlignment="1">
      <alignment horizontal="center"/>
    </xf>
    <xf numFmtId="0" fontId="0" fillId="2" borderId="1" xfId="0" applyFill="1" applyBorder="1"/>
    <xf numFmtId="165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9" fontId="0" fillId="2" borderId="1" xfId="2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9" fontId="3" fillId="2" borderId="1" xfId="0" applyNumberFormat="1" applyFont="1" applyFill="1" applyBorder="1" applyAlignment="1">
      <alignment horizontal="center"/>
    </xf>
    <xf numFmtId="0" fontId="2" fillId="2" borderId="0" xfId="0" applyFont="1" applyFill="1"/>
    <xf numFmtId="165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165" fontId="2" fillId="2" borderId="1" xfId="1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3" fillId="3" borderId="1" xfId="0" applyFont="1" applyFill="1" applyBorder="1"/>
    <xf numFmtId="165" fontId="3" fillId="3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0" fontId="0" fillId="3" borderId="1" xfId="0" applyFill="1" applyBorder="1"/>
    <xf numFmtId="165" fontId="0" fillId="3" borderId="1" xfId="0" applyNumberFormat="1" applyFill="1" applyBorder="1" applyAlignment="1">
      <alignment horizontal="center"/>
    </xf>
    <xf numFmtId="0" fontId="0" fillId="3" borderId="0" xfId="0" applyFill="1"/>
    <xf numFmtId="0" fontId="0" fillId="2" borderId="1" xfId="3" applyNumberFormat="1" applyFont="1" applyFill="1" applyBorder="1" applyAlignment="1">
      <alignment horizontal="center"/>
    </xf>
    <xf numFmtId="164" fontId="0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0" fillId="4" borderId="1" xfId="0" applyFill="1" applyBorder="1"/>
    <xf numFmtId="165" fontId="0" fillId="4" borderId="1" xfId="0" applyNumberFormat="1" applyFill="1" applyBorder="1" applyAlignment="1">
      <alignment horizontal="center"/>
    </xf>
    <xf numFmtId="9" fontId="0" fillId="2" borderId="0" xfId="0" applyNumberFormat="1" applyFill="1"/>
    <xf numFmtId="0" fontId="10" fillId="2" borderId="0" xfId="0" applyFont="1" applyFill="1"/>
    <xf numFmtId="0" fontId="11" fillId="2" borderId="0" xfId="0" applyFont="1" applyFill="1" applyAlignment="1">
      <alignment horizontal="center"/>
    </xf>
    <xf numFmtId="0" fontId="12" fillId="2" borderId="0" xfId="0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 applyAlignment="1">
      <alignment horizontal="left"/>
    </xf>
    <xf numFmtId="0" fontId="14" fillId="5" borderId="0" xfId="0" applyFont="1" applyFill="1" applyAlignment="1">
      <alignment horizontal="center"/>
    </xf>
    <xf numFmtId="167" fontId="10" fillId="2" borderId="0" xfId="0" applyNumberFormat="1" applyFont="1" applyFill="1" applyAlignment="1">
      <alignment horizontal="center"/>
    </xf>
    <xf numFmtId="0" fontId="10" fillId="2" borderId="2" xfId="0" applyFont="1" applyFill="1" applyBorder="1"/>
    <xf numFmtId="0" fontId="10" fillId="2" borderId="2" xfId="0" applyFont="1" applyFill="1" applyBorder="1" applyAlignment="1">
      <alignment horizontal="center"/>
    </xf>
    <xf numFmtId="0" fontId="15" fillId="2" borderId="0" xfId="0" applyFont="1" applyFill="1"/>
    <xf numFmtId="0" fontId="3" fillId="2" borderId="0" xfId="0" applyFont="1" applyFill="1"/>
    <xf numFmtId="0" fontId="17" fillId="2" borderId="0" xfId="0" applyFont="1" applyFill="1"/>
    <xf numFmtId="0" fontId="3" fillId="2" borderId="0" xfId="0" applyFont="1" applyFill="1" applyAlignment="1">
      <alignment horizontal="center"/>
    </xf>
    <xf numFmtId="0" fontId="18" fillId="2" borderId="0" xfId="0" applyFont="1" applyFill="1" applyAlignment="1">
      <alignment vertical="center"/>
    </xf>
    <xf numFmtId="168" fontId="10" fillId="2" borderId="0" xfId="0" applyNumberFormat="1" applyFont="1" applyFill="1" applyAlignment="1">
      <alignment horizontal="center"/>
    </xf>
    <xf numFmtId="168" fontId="10" fillId="2" borderId="2" xfId="0" applyNumberFormat="1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165" fontId="0" fillId="2" borderId="1" xfId="0" applyNumberFormat="1" applyFill="1" applyBorder="1"/>
    <xf numFmtId="0" fontId="0" fillId="2" borderId="0" xfId="0" applyFill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0" fontId="10" fillId="2" borderId="0" xfId="0" applyFont="1" applyFill="1" applyAlignment="1">
      <alignment horizontal="left" vertic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6" borderId="1" xfId="0" applyFill="1" applyBorder="1"/>
    <xf numFmtId="166" fontId="0" fillId="6" borderId="1" xfId="0" applyNumberFormat="1" applyFill="1" applyBorder="1" applyAlignment="1">
      <alignment horizontal="center"/>
    </xf>
    <xf numFmtId="0" fontId="3" fillId="6" borderId="1" xfId="0" applyFont="1" applyFill="1" applyBorder="1"/>
    <xf numFmtId="165" fontId="3" fillId="6" borderId="1" xfId="0" applyNumberFormat="1" applyFont="1" applyFill="1" applyBorder="1" applyAlignment="1">
      <alignment horizontal="center"/>
    </xf>
    <xf numFmtId="0" fontId="14" fillId="5" borderId="0" xfId="0" applyFont="1" applyFill="1" applyAlignment="1">
      <alignment horizontal="left"/>
    </xf>
    <xf numFmtId="0" fontId="10" fillId="2" borderId="1" xfId="0" applyFont="1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0" fontId="14" fillId="5" borderId="0" xfId="0" applyFont="1" applyFill="1"/>
    <xf numFmtId="9" fontId="0" fillId="2" borderId="0" xfId="0" applyNumberFormat="1" applyFill="1" applyAlignment="1">
      <alignment horizontal="center"/>
    </xf>
    <xf numFmtId="0" fontId="0" fillId="2" borderId="2" xfId="0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0" fontId="12" fillId="2" borderId="8" xfId="0" applyFont="1" applyFill="1" applyBorder="1"/>
    <xf numFmtId="0" fontId="10" fillId="2" borderId="7" xfId="0" applyFont="1" applyFill="1" applyBorder="1"/>
    <xf numFmtId="0" fontId="10" fillId="2" borderId="9" xfId="0" applyFont="1" applyFill="1" applyBorder="1"/>
    <xf numFmtId="0" fontId="12" fillId="2" borderId="10" xfId="0" applyFont="1" applyFill="1" applyBorder="1"/>
    <xf numFmtId="0" fontId="12" fillId="2" borderId="12" xfId="0" applyFont="1" applyFill="1" applyBorder="1"/>
    <xf numFmtId="0" fontId="10" fillId="2" borderId="13" xfId="0" applyFont="1" applyFill="1" applyBorder="1"/>
    <xf numFmtId="0" fontId="12" fillId="0" borderId="0" xfId="0" applyFont="1"/>
    <xf numFmtId="0" fontId="0" fillId="2" borderId="4" xfId="0" applyFill="1" applyBorder="1" applyAlignment="1">
      <alignment horizontal="center"/>
    </xf>
    <xf numFmtId="165" fontId="0" fillId="2" borderId="6" xfId="0" applyNumberFormat="1" applyFill="1" applyBorder="1"/>
    <xf numFmtId="0" fontId="3" fillId="2" borderId="0" xfId="0" applyFont="1" applyFill="1" applyAlignment="1">
      <alignment horizontal="right"/>
    </xf>
    <xf numFmtId="2" fontId="20" fillId="2" borderId="0" xfId="0" applyNumberFormat="1" applyFont="1" applyFill="1" applyAlignment="1">
      <alignment horizontal="left"/>
    </xf>
    <xf numFmtId="0" fontId="0" fillId="2" borderId="11" xfId="0" applyFill="1" applyBorder="1"/>
    <xf numFmtId="0" fontId="3" fillId="2" borderId="10" xfId="0" applyFont="1" applyFill="1" applyBorder="1"/>
    <xf numFmtId="175" fontId="0" fillId="2" borderId="0" xfId="0" applyNumberFormat="1" applyFill="1"/>
    <xf numFmtId="176" fontId="0" fillId="2" borderId="2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/>
    <xf numFmtId="0" fontId="0" fillId="2" borderId="0" xfId="0" applyFill="1" applyAlignment="1">
      <alignment vertical="center"/>
    </xf>
    <xf numFmtId="178" fontId="0" fillId="2" borderId="1" xfId="0" applyNumberFormat="1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/>
    </xf>
    <xf numFmtId="9" fontId="0" fillId="2" borderId="0" xfId="2" applyFont="1" applyFill="1"/>
    <xf numFmtId="0" fontId="0" fillId="2" borderId="10" xfId="0" applyFill="1" applyBorder="1" applyAlignment="1">
      <alignment horizontal="center"/>
    </xf>
    <xf numFmtId="1" fontId="9" fillId="2" borderId="0" xfId="0" applyNumberFormat="1" applyFont="1" applyFill="1"/>
    <xf numFmtId="0" fontId="13" fillId="7" borderId="0" xfId="0" applyFont="1" applyFill="1" applyAlignment="1">
      <alignment horizontal="left"/>
    </xf>
    <xf numFmtId="0" fontId="9" fillId="7" borderId="0" xfId="0" applyFont="1" applyFill="1" applyAlignment="1">
      <alignment horizontal="center"/>
    </xf>
    <xf numFmtId="171" fontId="10" fillId="8" borderId="0" xfId="0" applyNumberFormat="1" applyFont="1" applyFill="1" applyAlignment="1">
      <alignment horizontal="center"/>
    </xf>
    <xf numFmtId="0" fontId="24" fillId="2" borderId="0" xfId="0" applyFont="1" applyFill="1"/>
    <xf numFmtId="0" fontId="25" fillId="2" borderId="0" xfId="0" applyFont="1" applyFill="1"/>
    <xf numFmtId="174" fontId="20" fillId="2" borderId="0" xfId="0" applyNumberFormat="1" applyFont="1" applyFill="1"/>
    <xf numFmtId="0" fontId="0" fillId="4" borderId="14" xfId="0" applyFill="1" applyBorder="1"/>
    <xf numFmtId="166" fontId="0" fillId="2" borderId="14" xfId="0" applyNumberFormat="1" applyFill="1" applyBorder="1" applyAlignment="1">
      <alignment horizontal="center"/>
    </xf>
    <xf numFmtId="170" fontId="10" fillId="2" borderId="1" xfId="0" applyNumberFormat="1" applyFont="1" applyFill="1" applyBorder="1" applyAlignment="1">
      <alignment horizontal="center"/>
    </xf>
    <xf numFmtId="172" fontId="10" fillId="2" borderId="1" xfId="0" applyNumberFormat="1" applyFont="1" applyFill="1" applyBorder="1" applyAlignment="1">
      <alignment horizontal="center"/>
    </xf>
    <xf numFmtId="170" fontId="10" fillId="6" borderId="1" xfId="0" applyNumberFormat="1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172" fontId="10" fillId="9" borderId="1" xfId="0" applyNumberFormat="1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3" fillId="3" borderId="0" xfId="0" applyFont="1" applyFill="1"/>
    <xf numFmtId="0" fontId="0" fillId="2" borderId="6" xfId="0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165" fontId="0" fillId="2" borderId="6" xfId="0" applyNumberFormat="1" applyFill="1" applyBorder="1" applyAlignment="1">
      <alignment horizontal="center"/>
    </xf>
    <xf numFmtId="0" fontId="29" fillId="2" borderId="0" xfId="0" applyFont="1" applyFill="1" applyAlignment="1">
      <alignment vertical="center"/>
    </xf>
    <xf numFmtId="173" fontId="28" fillId="2" borderId="1" xfId="0" applyNumberFormat="1" applyFont="1" applyFill="1" applyBorder="1" applyAlignment="1">
      <alignment horizontal="center"/>
    </xf>
    <xf numFmtId="168" fontId="30" fillId="2" borderId="1" xfId="0" applyNumberFormat="1" applyFont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left" vertical="center"/>
    </xf>
    <xf numFmtId="0" fontId="27" fillId="10" borderId="6" xfId="0" applyFont="1" applyFill="1" applyBorder="1" applyAlignment="1">
      <alignment horizontal="center" vertical="center"/>
    </xf>
    <xf numFmtId="0" fontId="0" fillId="6" borderId="0" xfId="0" applyFill="1"/>
    <xf numFmtId="175" fontId="0" fillId="6" borderId="0" xfId="0" applyNumberFormat="1" applyFill="1"/>
    <xf numFmtId="0" fontId="27" fillId="10" borderId="22" xfId="0" applyFont="1" applyFill="1" applyBorder="1" applyAlignment="1">
      <alignment horizontal="center"/>
    </xf>
    <xf numFmtId="0" fontId="27" fillId="10" borderId="14" xfId="0" applyFont="1" applyFill="1" applyBorder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/>
    </xf>
    <xf numFmtId="165" fontId="0" fillId="6" borderId="1" xfId="0" applyNumberFormat="1" applyFill="1" applyBorder="1" applyAlignment="1">
      <alignment horizontal="center" vertical="center"/>
    </xf>
    <xf numFmtId="165" fontId="9" fillId="13" borderId="1" xfId="0" applyNumberFormat="1" applyFont="1" applyFill="1" applyBorder="1" applyAlignment="1">
      <alignment horizontal="center" vertical="center"/>
    </xf>
    <xf numFmtId="165" fontId="0" fillId="2" borderId="4" xfId="0" applyNumberFormat="1" applyFill="1" applyBorder="1"/>
    <xf numFmtId="165" fontId="20" fillId="2" borderId="7" xfId="0" applyNumberFormat="1" applyFont="1" applyFill="1" applyBorder="1"/>
    <xf numFmtId="171" fontId="10" fillId="2" borderId="1" xfId="0" applyNumberFormat="1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73" fontId="9" fillId="5" borderId="1" xfId="0" applyNumberFormat="1" applyFont="1" applyFill="1" applyBorder="1" applyAlignment="1">
      <alignment horizontal="center"/>
    </xf>
    <xf numFmtId="0" fontId="31" fillId="2" borderId="10" xfId="0" applyFont="1" applyFill="1" applyBorder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0" fontId="31" fillId="2" borderId="12" xfId="0" applyFont="1" applyFill="1" applyBorder="1" applyAlignment="1">
      <alignment horizontal="center" vertical="center"/>
    </xf>
    <xf numFmtId="0" fontId="31" fillId="2" borderId="2" xfId="0" applyFont="1" applyFill="1" applyBorder="1" applyAlignment="1">
      <alignment horizontal="center" vertical="center"/>
    </xf>
    <xf numFmtId="165" fontId="0" fillId="2" borderId="6" xfId="0" applyNumberFormat="1" applyFill="1" applyBorder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0" fontId="30" fillId="2" borderId="6" xfId="0" applyFont="1" applyFill="1" applyBorder="1" applyAlignment="1">
      <alignment horizontal="center"/>
    </xf>
    <xf numFmtId="0" fontId="30" fillId="2" borderId="5" xfId="0" applyFont="1" applyFill="1" applyBorder="1" applyAlignment="1">
      <alignment horizontal="center"/>
    </xf>
    <xf numFmtId="0" fontId="33" fillId="12" borderId="1" xfId="0" applyFont="1" applyFill="1" applyBorder="1" applyAlignment="1">
      <alignment horizontal="center" vertical="center"/>
    </xf>
    <xf numFmtId="168" fontId="30" fillId="2" borderId="1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35" fillId="12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2" fillId="0" borderId="2" xfId="0" applyFont="1" applyBorder="1" applyAlignment="1">
      <alignment horizontal="center"/>
    </xf>
    <xf numFmtId="170" fontId="10" fillId="8" borderId="0" xfId="0" applyNumberFormat="1" applyFont="1" applyFill="1" applyAlignment="1">
      <alignment horizontal="center"/>
    </xf>
    <xf numFmtId="0" fontId="22" fillId="7" borderId="0" xfId="0" applyFont="1" applyFill="1" applyAlignment="1">
      <alignment horizontal="left"/>
    </xf>
    <xf numFmtId="0" fontId="21" fillId="5" borderId="0" xfId="0" applyFont="1" applyFill="1" applyAlignment="1">
      <alignment horizontal="left"/>
    </xf>
    <xf numFmtId="0" fontId="32" fillId="11" borderId="1" xfId="0" applyFont="1" applyFill="1" applyBorder="1" applyAlignment="1">
      <alignment horizontal="center" vertical="center"/>
    </xf>
    <xf numFmtId="0" fontId="32" fillId="11" borderId="1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/>
    </xf>
    <xf numFmtId="172" fontId="10" fillId="8" borderId="0" xfId="0" applyNumberFormat="1" applyFont="1" applyFill="1" applyAlignment="1">
      <alignment horizontal="center"/>
    </xf>
    <xf numFmtId="173" fontId="34" fillId="11" borderId="0" xfId="0" applyNumberFormat="1" applyFont="1" applyFill="1" applyAlignment="1">
      <alignment horizontal="center" vertical="center" wrapText="1"/>
    </xf>
    <xf numFmtId="173" fontId="34" fillId="11" borderId="2" xfId="0" applyNumberFormat="1" applyFont="1" applyFill="1" applyBorder="1" applyAlignment="1">
      <alignment horizontal="center" vertical="center" wrapText="1"/>
    </xf>
    <xf numFmtId="173" fontId="34" fillId="11" borderId="20" xfId="0" applyNumberFormat="1" applyFont="1" applyFill="1" applyBorder="1" applyAlignment="1">
      <alignment horizontal="center" vertical="center" wrapText="1"/>
    </xf>
    <xf numFmtId="173" fontId="34" fillId="11" borderId="21" xfId="0" applyNumberFormat="1" applyFont="1" applyFill="1" applyBorder="1" applyAlignment="1">
      <alignment horizontal="center" vertical="center" wrapText="1"/>
    </xf>
    <xf numFmtId="173" fontId="34" fillId="11" borderId="10" xfId="0" applyNumberFormat="1" applyFont="1" applyFill="1" applyBorder="1" applyAlignment="1">
      <alignment horizontal="center" vertical="center"/>
    </xf>
    <xf numFmtId="173" fontId="34" fillId="11" borderId="12" xfId="0" applyNumberFormat="1" applyFont="1" applyFill="1" applyBorder="1" applyAlignment="1">
      <alignment horizontal="center" vertical="center"/>
    </xf>
    <xf numFmtId="0" fontId="26" fillId="2" borderId="0" xfId="0" applyFont="1" applyFill="1" applyAlignment="1">
      <alignment horizontal="center"/>
    </xf>
    <xf numFmtId="0" fontId="10" fillId="2" borderId="2" xfId="0" applyFont="1" applyFill="1" applyBorder="1" applyAlignment="1">
      <alignment horizontal="left"/>
    </xf>
    <xf numFmtId="0" fontId="10" fillId="2" borderId="0" xfId="0" applyFont="1" applyFill="1" applyAlignment="1">
      <alignment horizontal="left"/>
    </xf>
    <xf numFmtId="0" fontId="13" fillId="5" borderId="6" xfId="0" applyFont="1" applyFill="1" applyBorder="1" applyAlignment="1">
      <alignment horizontal="center"/>
    </xf>
    <xf numFmtId="0" fontId="13" fillId="5" borderId="4" xfId="0" applyFont="1" applyFill="1" applyBorder="1" applyAlignment="1">
      <alignment horizontal="center"/>
    </xf>
    <xf numFmtId="0" fontId="13" fillId="5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14" fontId="10" fillId="2" borderId="0" xfId="0" applyNumberFormat="1" applyFont="1" applyFill="1" applyAlignment="1">
      <alignment horizontal="left"/>
    </xf>
    <xf numFmtId="14" fontId="10" fillId="2" borderId="11" xfId="0" applyNumberFormat="1" applyFont="1" applyFill="1" applyBorder="1" applyAlignment="1">
      <alignment horizontal="left"/>
    </xf>
    <xf numFmtId="173" fontId="34" fillId="11" borderId="18" xfId="0" applyNumberFormat="1" applyFont="1" applyFill="1" applyBorder="1" applyAlignment="1">
      <alignment horizontal="center" vertical="center" wrapText="1"/>
    </xf>
    <xf numFmtId="173" fontId="34" fillId="11" borderId="19" xfId="0" applyNumberFormat="1" applyFont="1" applyFill="1" applyBorder="1" applyAlignment="1">
      <alignment horizontal="center" vertical="center" wrapText="1"/>
    </xf>
    <xf numFmtId="173" fontId="34" fillId="11" borderId="16" xfId="0" applyNumberFormat="1" applyFont="1" applyFill="1" applyBorder="1" applyAlignment="1">
      <alignment horizontal="center" vertical="center" wrapText="1"/>
    </xf>
    <xf numFmtId="173" fontId="34" fillId="11" borderId="17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/>
    </xf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4" fillId="3" borderId="0" xfId="0" applyFont="1" applyFill="1" applyAlignment="1">
      <alignment horizontal="left"/>
    </xf>
    <xf numFmtId="0" fontId="3" fillId="3" borderId="23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</cellXfs>
  <cellStyles count="13">
    <cellStyle name="Millares" xfId="3" builtinId="3"/>
    <cellStyle name="Moneda" xfId="1" builtinId="4"/>
    <cellStyle name="Normal" xfId="0" builtinId="0"/>
    <cellStyle name="Normal 2" xfId="4" xr:uid="{00000000-0005-0000-0000-000003000000}"/>
    <cellStyle name="Normal 3" xfId="7" xr:uid="{00000000-0005-0000-0000-000004000000}"/>
    <cellStyle name="Normal 4" xfId="8" xr:uid="{00000000-0005-0000-0000-000005000000}"/>
    <cellStyle name="Normal 5" xfId="9" xr:uid="{00000000-0005-0000-0000-000006000000}"/>
    <cellStyle name="Normal 6" xfId="10" xr:uid="{00000000-0005-0000-0000-000007000000}"/>
    <cellStyle name="Normal 7" xfId="11" xr:uid="{00000000-0005-0000-0000-000008000000}"/>
    <cellStyle name="Normal 8" xfId="12" xr:uid="{00000000-0005-0000-0000-000009000000}"/>
    <cellStyle name="Porcentaje" xfId="2" builtinId="5"/>
    <cellStyle name="常规 2" xfId="6" xr:uid="{00000000-0005-0000-0000-00000B000000}"/>
    <cellStyle name="常规_Sales C0ntract" xfId="5" xr:uid="{00000000-0005-0000-0000-00000C000000}"/>
  </cellStyles>
  <dxfs count="0"/>
  <tableStyles count="0" defaultTableStyle="TableStyleMedium2" defaultPivotStyle="PivotStyleLight16"/>
  <colors>
    <mruColors>
      <color rgb="FFDD7105"/>
      <color rgb="FFE37C1A"/>
      <color rgb="FFFF500B"/>
      <color rgb="FFC87700"/>
      <color rgb="FFFF9900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65</xdr:row>
      <xdr:rowOff>147864</xdr:rowOff>
    </xdr:from>
    <xdr:to>
      <xdr:col>1</xdr:col>
      <xdr:colOff>299357</xdr:colOff>
      <xdr:row>67</xdr:row>
      <xdr:rowOff>27214</xdr:rowOff>
    </xdr:to>
    <xdr:sp macro="" textlink="">
      <xdr:nvSpPr>
        <xdr:cNvPr id="9" name="Rectángulo: esquinas redondeadas 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" y="11986078"/>
          <a:ext cx="963386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7258</xdr:colOff>
      <xdr:row>65</xdr:row>
      <xdr:rowOff>139247</xdr:rowOff>
    </xdr:from>
    <xdr:to>
      <xdr:col>1</xdr:col>
      <xdr:colOff>503464</xdr:colOff>
      <xdr:row>67</xdr:row>
      <xdr:rowOff>40822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258" y="11977461"/>
          <a:ext cx="1217385" cy="282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DEL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CLIENTE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51938</xdr:colOff>
      <xdr:row>82</xdr:row>
      <xdr:rowOff>147864</xdr:rowOff>
    </xdr:from>
    <xdr:to>
      <xdr:col>2</xdr:col>
      <xdr:colOff>161126</xdr:colOff>
      <xdr:row>84</xdr:row>
      <xdr:rowOff>27214</xdr:rowOff>
    </xdr:to>
    <xdr:sp macro="" textlink="">
      <xdr:nvSpPr>
        <xdr:cNvPr id="13" name="Rectángulo: esquinas redondeadas 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1938" y="14272078"/>
          <a:ext cx="1551545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20865</xdr:colOff>
      <xdr:row>82</xdr:row>
      <xdr:rowOff>139247</xdr:rowOff>
    </xdr:from>
    <xdr:to>
      <xdr:col>2</xdr:col>
      <xdr:colOff>258536</xdr:colOff>
      <xdr:row>84</xdr:row>
      <xdr:rowOff>108857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20865" y="14263461"/>
          <a:ext cx="1680028" cy="3506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 LA IMPORTACIÓN</a:t>
          </a:r>
        </a:p>
      </xdr:txBody>
    </xdr:sp>
    <xdr:clientData/>
  </xdr:twoCellAnchor>
  <xdr:twoCellAnchor>
    <xdr:from>
      <xdr:col>0</xdr:col>
      <xdr:colOff>68035</xdr:colOff>
      <xdr:row>96</xdr:row>
      <xdr:rowOff>147864</xdr:rowOff>
    </xdr:from>
    <xdr:to>
      <xdr:col>1</xdr:col>
      <xdr:colOff>629124</xdr:colOff>
      <xdr:row>98</xdr:row>
      <xdr:rowOff>27214</xdr:rowOff>
    </xdr:to>
    <xdr:sp macro="" textlink="">
      <xdr:nvSpPr>
        <xdr:cNvPr id="15" name="Rectángulo: esquinas redondeadas 5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8035" y="16558078"/>
          <a:ext cx="1282268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48080</xdr:colOff>
      <xdr:row>96</xdr:row>
      <xdr:rowOff>139248</xdr:rowOff>
    </xdr:from>
    <xdr:to>
      <xdr:col>2</xdr:col>
      <xdr:colOff>462643</xdr:colOff>
      <xdr:row>98</xdr:row>
      <xdr:rowOff>54430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48080" y="16549462"/>
          <a:ext cx="1856920" cy="2961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LA EMPRESA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 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</xdr:colOff>
          <xdr:row>2</xdr:row>
          <xdr:rowOff>220980</xdr:rowOff>
        </xdr:from>
        <xdr:to>
          <xdr:col>18</xdr:col>
          <xdr:colOff>464820</xdr:colOff>
          <xdr:row>5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442149</xdr:colOff>
      <xdr:row>25</xdr:row>
      <xdr:rowOff>27212</xdr:rowOff>
    </xdr:from>
    <xdr:to>
      <xdr:col>9</xdr:col>
      <xdr:colOff>116574</xdr:colOff>
      <xdr:row>52</xdr:row>
      <xdr:rowOff>218479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09" t="9881" r="9525" b="9613"/>
        <a:stretch/>
      </xdr:blipFill>
      <xdr:spPr>
        <a:xfrm>
          <a:off x="1361031" y="4879359"/>
          <a:ext cx="5535102" cy="5791968"/>
        </a:xfrm>
        <a:prstGeom prst="rect">
          <a:avLst/>
        </a:prstGeom>
      </xdr:spPr>
    </xdr:pic>
    <xdr:clientData/>
  </xdr:twoCellAnchor>
  <xdr:twoCellAnchor>
    <xdr:from>
      <xdr:col>3</xdr:col>
      <xdr:colOff>607219</xdr:colOff>
      <xdr:row>58</xdr:row>
      <xdr:rowOff>59531</xdr:rowOff>
    </xdr:from>
    <xdr:to>
      <xdr:col>9</xdr:col>
      <xdr:colOff>218434</xdr:colOff>
      <xdr:row>63</xdr:row>
      <xdr:rowOff>94305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3290094" y="10568781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1</xdr:col>
      <xdr:colOff>813593</xdr:colOff>
      <xdr:row>57</xdr:row>
      <xdr:rowOff>174625</xdr:rowOff>
    </xdr:from>
    <xdr:to>
      <xdr:col>3</xdr:col>
      <xdr:colOff>298361</xdr:colOff>
      <xdr:row>63</xdr:row>
      <xdr:rowOff>130193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0593" y="10493375"/>
          <a:ext cx="1220223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587375</xdr:colOff>
      <xdr:row>0</xdr:row>
      <xdr:rowOff>0</xdr:rowOff>
    </xdr:from>
    <xdr:to>
      <xdr:col>1</xdr:col>
      <xdr:colOff>878910</xdr:colOff>
      <xdr:row>5</xdr:row>
      <xdr:rowOff>146069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3625" y="0"/>
          <a:ext cx="1212285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71</xdr:row>
      <xdr:rowOff>79078</xdr:rowOff>
    </xdr:from>
    <xdr:to>
      <xdr:col>8</xdr:col>
      <xdr:colOff>845757</xdr:colOff>
      <xdr:row>103</xdr:row>
      <xdr:rowOff>33835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b="9411"/>
        <a:stretch/>
      </xdr:blipFill>
      <xdr:spPr>
        <a:xfrm>
          <a:off x="0" y="18776300"/>
          <a:ext cx="7639885" cy="6276534"/>
        </a:xfrm>
        <a:prstGeom prst="rect">
          <a:avLst/>
        </a:prstGeom>
      </xdr:spPr>
    </xdr:pic>
    <xdr:clientData/>
  </xdr:twoCellAnchor>
  <xdr:twoCellAnchor>
    <xdr:from>
      <xdr:col>3</xdr:col>
      <xdr:colOff>31750</xdr:colOff>
      <xdr:row>0</xdr:row>
      <xdr:rowOff>0</xdr:rowOff>
    </xdr:from>
    <xdr:to>
      <xdr:col>8</xdr:col>
      <xdr:colOff>389090</xdr:colOff>
      <xdr:row>5</xdr:row>
      <xdr:rowOff>34774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2714625" y="0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0</xdr:col>
      <xdr:colOff>809977</xdr:colOff>
      <xdr:row>105</xdr:row>
      <xdr:rowOff>166510</xdr:rowOff>
    </xdr:from>
    <xdr:to>
      <xdr:col>5</xdr:col>
      <xdr:colOff>737916</xdr:colOff>
      <xdr:row>120</xdr:row>
      <xdr:rowOff>177800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9977" y="26379310"/>
          <a:ext cx="4954599" cy="30592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74083</xdr:colOff>
      <xdr:row>21</xdr:row>
      <xdr:rowOff>95250</xdr:rowOff>
    </xdr:from>
    <xdr:to>
      <xdr:col>18</xdr:col>
      <xdr:colOff>666750</xdr:colOff>
      <xdr:row>21</xdr:row>
      <xdr:rowOff>95250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3631333" y="2423583"/>
          <a:ext cx="592667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Y118"/>
  <sheetViews>
    <sheetView showGridLines="0" tabSelected="1" topLeftCell="J32" zoomScale="85" zoomScaleNormal="85" zoomScaleSheetLayoutView="80" workbookViewId="0">
      <selection activeCell="T43" sqref="T43"/>
    </sheetView>
  </sheetViews>
  <sheetFormatPr baseColWidth="10" defaultColWidth="10.88671875" defaultRowHeight="14.4"/>
  <cols>
    <col min="1" max="1" width="13.88671875" style="1" customWidth="1"/>
    <col min="2" max="2" width="23.109375" style="1" customWidth="1"/>
    <col min="3" max="3" width="2.44140625" style="1" customWidth="1"/>
    <col min="4" max="4" width="13.44140625" style="1" bestFit="1" customWidth="1"/>
    <col min="5" max="5" width="10.88671875" style="1" customWidth="1"/>
    <col min="6" max="6" width="12" style="1" customWidth="1"/>
    <col min="7" max="7" width="2.44140625" style="1" customWidth="1"/>
    <col min="8" max="8" width="9.88671875" style="1" customWidth="1"/>
    <col min="9" max="9" width="13.6640625" style="1" customWidth="1"/>
    <col min="10" max="10" width="11.33203125" style="1" bestFit="1" customWidth="1"/>
    <col min="11" max="11" width="11.44140625" style="1" customWidth="1"/>
    <col min="12" max="12" width="7.109375" style="1" customWidth="1"/>
    <col min="13" max="13" width="9" style="1" customWidth="1"/>
    <col min="14" max="14" width="23" style="1" bestFit="1" customWidth="1"/>
    <col min="15" max="15" width="25.88671875" style="1" customWidth="1"/>
    <col min="16" max="16" width="19.88671875" style="1" customWidth="1"/>
    <col min="17" max="17" width="20.109375" style="1" customWidth="1"/>
    <col min="18" max="18" width="11.44140625" style="1" customWidth="1"/>
    <col min="19" max="19" width="16.44140625" style="1" bestFit="1" customWidth="1"/>
    <col min="20" max="20" width="11.44140625" style="1" customWidth="1"/>
    <col min="21" max="16384" width="10.88671875" style="1"/>
  </cols>
  <sheetData>
    <row r="1" spans="1:25" ht="18">
      <c r="H1" s="32"/>
      <c r="I1" s="32"/>
      <c r="J1" s="32"/>
      <c r="K1" s="31"/>
    </row>
    <row r="2" spans="1:25" ht="18">
      <c r="H2" s="32"/>
      <c r="I2" s="32"/>
      <c r="J2" s="32"/>
      <c r="K2" s="31"/>
    </row>
    <row r="3" spans="1:25">
      <c r="F3" s="143"/>
      <c r="G3" s="143"/>
      <c r="H3" s="143"/>
      <c r="I3" s="143"/>
      <c r="W3" s="5" t="s">
        <v>80</v>
      </c>
    </row>
    <row r="4" spans="1:25">
      <c r="F4" s="144"/>
      <c r="G4" s="144"/>
      <c r="H4" s="144"/>
      <c r="I4" s="144"/>
      <c r="J4" s="40"/>
      <c r="W4" s="5" t="s">
        <v>81</v>
      </c>
    </row>
    <row r="5" spans="1:25">
      <c r="W5" s="5" t="s">
        <v>82</v>
      </c>
    </row>
    <row r="6" spans="1:25">
      <c r="B6" s="73"/>
      <c r="C6" s="73"/>
      <c r="E6" s="73"/>
      <c r="F6" s="73"/>
      <c r="G6" s="73"/>
      <c r="W6" s="83" t="s">
        <v>86</v>
      </c>
    </row>
    <row r="7" spans="1:25">
      <c r="D7" s="145" t="s">
        <v>117</v>
      </c>
      <c r="E7" s="145"/>
      <c r="F7" s="145"/>
      <c r="W7" s="5" t="s">
        <v>85</v>
      </c>
    </row>
    <row r="8" spans="1:25">
      <c r="A8" s="33" t="s">
        <v>79</v>
      </c>
      <c r="B8" s="47" t="s">
        <v>138</v>
      </c>
      <c r="D8" s="67" t="s">
        <v>24</v>
      </c>
      <c r="E8" s="68" t="s">
        <v>25</v>
      </c>
      <c r="F8" s="69"/>
      <c r="G8" s="31"/>
      <c r="H8" s="1" t="s">
        <v>30</v>
      </c>
      <c r="I8" s="151">
        <f>+'2'!M5</f>
        <v>36</v>
      </c>
      <c r="J8" s="151"/>
      <c r="K8" s="151"/>
      <c r="T8" s="89"/>
      <c r="W8" s="5" t="s">
        <v>89</v>
      </c>
    </row>
    <row r="9" spans="1:25">
      <c r="A9" s="33" t="s">
        <v>116</v>
      </c>
      <c r="B9" s="47">
        <v>47773459</v>
      </c>
      <c r="D9" s="70" t="s">
        <v>103</v>
      </c>
      <c r="E9" s="166">
        <f ca="1">+TODAY()</f>
        <v>45835</v>
      </c>
      <c r="F9" s="167"/>
      <c r="G9" s="31"/>
      <c r="H9" s="1" t="s">
        <v>29</v>
      </c>
      <c r="I9" s="152">
        <f>+'2'!M6</f>
        <v>1829.7</v>
      </c>
      <c r="J9" s="152"/>
      <c r="K9" s="152"/>
      <c r="R9" s="3"/>
      <c r="S9" s="121" t="s">
        <v>88</v>
      </c>
      <c r="T9" s="6" t="s">
        <v>54</v>
      </c>
    </row>
    <row r="10" spans="1:25">
      <c r="A10" s="33" t="s">
        <v>115</v>
      </c>
      <c r="B10" s="47"/>
      <c r="D10" s="79" t="s">
        <v>26</v>
      </c>
      <c r="E10" s="1" t="s">
        <v>27</v>
      </c>
      <c r="F10" s="78"/>
      <c r="G10" s="31"/>
      <c r="H10" s="1" t="s">
        <v>73</v>
      </c>
      <c r="I10" s="92">
        <v>0</v>
      </c>
      <c r="J10" s="92">
        <v>0</v>
      </c>
      <c r="K10" s="92">
        <v>0</v>
      </c>
      <c r="R10" s="82" t="s">
        <v>82</v>
      </c>
      <c r="S10" s="50" cm="1">
        <f t="array" ref="S10">IF('1'!$I$11&lt;0.59,280,IF('1'!$I$11&lt;1,375,IF('1'!$I$11&lt;=2.09,375*'1'!$I$11,IF('1'!$I$11&lt;=3.09,350*'1'!$I$11,IF('1'!$I$11&lt;=4.09,325*'1'!$I$11,IF('1'!$I$11&gt;4.09,300*'1'!$I$11,ERROR))))))</f>
        <v>753.75000000000011</v>
      </c>
      <c r="T10" s="86">
        <f>IF($I$11&lt;1,S10,S10/$I$11)</f>
        <v>375</v>
      </c>
      <c r="U10" s="49"/>
      <c r="V10" s="82"/>
      <c r="W10" s="82" t="s">
        <v>82</v>
      </c>
      <c r="X10" s="82" t="s">
        <v>81</v>
      </c>
      <c r="Y10" s="82" t="s">
        <v>86</v>
      </c>
    </row>
    <row r="11" spans="1:25">
      <c r="A11" s="33" t="s">
        <v>23</v>
      </c>
      <c r="B11" s="55">
        <v>51921284934</v>
      </c>
      <c r="D11" s="71" t="s">
        <v>22</v>
      </c>
      <c r="E11" s="38" t="s">
        <v>82</v>
      </c>
      <c r="F11" s="72"/>
      <c r="H11" s="1" t="s">
        <v>28</v>
      </c>
      <c r="I11" s="146">
        <f>+'2'!M8</f>
        <v>2.0100000000000002</v>
      </c>
      <c r="J11" s="146"/>
      <c r="K11" s="146"/>
      <c r="L11" s="62"/>
      <c r="R11" s="82" t="s">
        <v>81</v>
      </c>
      <c r="S11" s="50" cm="1">
        <f t="array" ref="S11">IF('1'!$I$11&lt;0.59,260,IF('1'!$I$11&lt;1,350,IF('1'!$I$11&lt;2.09,350*'1'!$I$11,IF('1'!$I$11&lt;3.09,325*'1'!$I$11,IF('1'!$I$11&lt;4.09,'1'!$I$11*300,IF('1'!$I$11&gt;4.09,280*'1'!$I$11,ERROR))))))</f>
        <v>703.50000000000011</v>
      </c>
      <c r="T11" s="86">
        <f>IF($I$11&lt;1,S11,S11/$I$11)</f>
        <v>350</v>
      </c>
      <c r="U11" s="3"/>
      <c r="V11" s="82" t="s">
        <v>104</v>
      </c>
      <c r="W11" s="82">
        <v>280</v>
      </c>
      <c r="X11" s="82">
        <v>260</v>
      </c>
      <c r="Y11" s="165">
        <v>250</v>
      </c>
    </row>
    <row r="12" spans="1:25">
      <c r="R12" s="82" t="s">
        <v>89</v>
      </c>
      <c r="S12" s="120"/>
      <c r="T12" s="86">
        <f>IF($I$11&lt;1,S12,S12/$I$11)</f>
        <v>0</v>
      </c>
      <c r="U12" s="3"/>
      <c r="V12" s="82" t="s">
        <v>105</v>
      </c>
      <c r="W12" s="82">
        <v>375</v>
      </c>
      <c r="X12" s="82">
        <v>350</v>
      </c>
      <c r="Y12" s="165"/>
    </row>
    <row r="13" spans="1:25">
      <c r="A13" s="148" t="s">
        <v>31</v>
      </c>
      <c r="B13" s="148"/>
      <c r="C13" s="148"/>
      <c r="D13" s="148"/>
      <c r="E13" s="148"/>
      <c r="F13" s="60"/>
      <c r="G13" s="60"/>
      <c r="H13" s="63"/>
      <c r="I13" s="63"/>
      <c r="J13" s="36" t="s">
        <v>34</v>
      </c>
      <c r="K13" s="36" t="s">
        <v>33</v>
      </c>
      <c r="R13" s="82" t="s">
        <v>86</v>
      </c>
      <c r="S13" s="50">
        <f>IF('1'!$I$11&lt;1,250,IF('1'!$I$11&lt;4,250*'1'!$I$11,IF('1'!$I$11&lt;=10,250*'1'!$I$11,IF('1'!$I$11&gt;10,250*'1'!$I$11,"VERIFICA EL CBM"))))</f>
        <v>502.50000000000006</v>
      </c>
      <c r="T13" s="86">
        <f>IF($I$11&lt;1,S13,S13/$I$11)</f>
        <v>250</v>
      </c>
      <c r="U13" s="88"/>
      <c r="V13" s="106" t="s">
        <v>106</v>
      </c>
      <c r="W13" s="106">
        <v>375</v>
      </c>
      <c r="X13" s="82">
        <v>350</v>
      </c>
      <c r="Y13" s="165"/>
    </row>
    <row r="14" spans="1:25">
      <c r="A14" s="161" t="s">
        <v>36</v>
      </c>
      <c r="B14" s="161"/>
      <c r="C14" s="161"/>
      <c r="D14" s="31"/>
      <c r="E14" s="31"/>
      <c r="F14" s="31"/>
      <c r="G14" s="31"/>
      <c r="J14" s="45">
        <f>'2'!M18</f>
        <v>4025.5</v>
      </c>
      <c r="K14" s="34" t="s">
        <v>35</v>
      </c>
      <c r="R14" s="82" t="s">
        <v>85</v>
      </c>
      <c r="S14" s="50">
        <f>IF('1'!$I$11&lt;1,250,250*'1'!$I$11)</f>
        <v>502.50000000000006</v>
      </c>
      <c r="T14" s="86">
        <f>IF($I$11&lt;1,S14,S14/$I$11)</f>
        <v>250</v>
      </c>
      <c r="V14" s="106" t="s">
        <v>107</v>
      </c>
      <c r="W14" s="106">
        <v>350</v>
      </c>
      <c r="X14" s="82">
        <v>325</v>
      </c>
      <c r="Y14" s="165"/>
    </row>
    <row r="15" spans="1:25">
      <c r="A15" s="160" t="s">
        <v>32</v>
      </c>
      <c r="B15" s="160"/>
      <c r="C15" s="160"/>
      <c r="D15" s="38"/>
      <c r="E15" s="38"/>
      <c r="F15" s="38"/>
      <c r="G15" s="38"/>
      <c r="H15" s="38"/>
      <c r="I15" s="38"/>
      <c r="J15" s="46">
        <f>IF(I11&lt;1,'2'!M21+'2'!M24,60%*(T16*I11)+'2'!M24)</f>
        <v>502.25000000000006</v>
      </c>
      <c r="K15" s="39" t="s">
        <v>35</v>
      </c>
      <c r="V15" s="82" t="s">
        <v>108</v>
      </c>
      <c r="W15" s="82">
        <v>325</v>
      </c>
      <c r="X15" s="82">
        <v>300</v>
      </c>
      <c r="Y15" s="165"/>
    </row>
    <row r="16" spans="1:25">
      <c r="A16" s="33" t="s">
        <v>7</v>
      </c>
      <c r="B16" s="31"/>
      <c r="C16" s="31"/>
      <c r="D16" s="31"/>
      <c r="E16" s="31"/>
      <c r="F16" s="31"/>
      <c r="G16" s="31"/>
      <c r="H16" s="31"/>
      <c r="I16" s="31"/>
      <c r="J16" s="45">
        <f>SUM(J14:J15)</f>
        <v>4527.75</v>
      </c>
      <c r="K16" s="34" t="s">
        <v>35</v>
      </c>
      <c r="O16" s="49"/>
      <c r="R16" s="82" t="s">
        <v>91</v>
      </c>
      <c r="S16" s="82" t="str">
        <f>E11</f>
        <v>NUEVO</v>
      </c>
      <c r="T16" s="82">
        <f>VLOOKUP(S16,R10:T14,3,0)</f>
        <v>375</v>
      </c>
      <c r="V16" s="82" t="s">
        <v>109</v>
      </c>
      <c r="W16" s="82">
        <v>300</v>
      </c>
      <c r="X16" s="82">
        <v>280</v>
      </c>
      <c r="Y16" s="165"/>
    </row>
    <row r="17" spans="1:1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O17" s="49"/>
    </row>
    <row r="18" spans="1:1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</row>
    <row r="19" spans="1:15">
      <c r="A19" s="148" t="s">
        <v>101</v>
      </c>
      <c r="B19" s="148"/>
      <c r="C19" s="148"/>
      <c r="D19" s="148"/>
      <c r="E19" s="148"/>
      <c r="F19" s="60"/>
      <c r="G19" s="60"/>
      <c r="H19" s="60"/>
      <c r="I19" s="36" t="s">
        <v>42</v>
      </c>
      <c r="J19" s="36" t="s">
        <v>34</v>
      </c>
      <c r="K19" s="36" t="s">
        <v>33</v>
      </c>
    </row>
    <row r="20" spans="1:15">
      <c r="A20" s="31" t="s">
        <v>37</v>
      </c>
      <c r="B20" s="31"/>
      <c r="C20" s="31"/>
      <c r="D20" s="31"/>
      <c r="E20" s="31"/>
      <c r="F20" s="31"/>
      <c r="G20" s="31"/>
      <c r="H20" s="31"/>
      <c r="I20" s="64">
        <f>MAX('2'!C33:L33)</f>
        <v>0</v>
      </c>
      <c r="J20" s="45">
        <f>'2'!M34</f>
        <v>0</v>
      </c>
      <c r="K20" s="34" t="s">
        <v>35</v>
      </c>
      <c r="N20" s="114" t="s">
        <v>54</v>
      </c>
    </row>
    <row r="21" spans="1:15">
      <c r="A21" s="31" t="s">
        <v>38</v>
      </c>
      <c r="B21" s="31"/>
      <c r="C21" s="31"/>
      <c r="D21" s="31"/>
      <c r="E21" s="31"/>
      <c r="F21" s="31"/>
      <c r="G21" s="31"/>
      <c r="H21" s="31"/>
      <c r="I21" s="64">
        <v>0.16</v>
      </c>
      <c r="J21" s="45">
        <f>'2'!M35</f>
        <v>724.43999999999994</v>
      </c>
      <c r="K21" s="34" t="s">
        <v>35</v>
      </c>
      <c r="N21" s="115">
        <f>J31/I11</f>
        <v>375</v>
      </c>
    </row>
    <row r="22" spans="1:15">
      <c r="A22" s="31" t="s">
        <v>39</v>
      </c>
      <c r="B22" s="31"/>
      <c r="C22" s="31"/>
      <c r="D22" s="31"/>
      <c r="E22" s="31"/>
      <c r="F22" s="31"/>
      <c r="G22" s="31"/>
      <c r="H22" s="31"/>
      <c r="I22" s="64">
        <v>0.02</v>
      </c>
      <c r="J22" s="45">
        <f>'2'!M36</f>
        <v>90.554999999999993</v>
      </c>
      <c r="K22" s="34" t="s">
        <v>35</v>
      </c>
    </row>
    <row r="23" spans="1:15">
      <c r="A23" s="38" t="s">
        <v>40</v>
      </c>
      <c r="B23" s="38"/>
      <c r="C23" s="38"/>
      <c r="D23" s="38"/>
      <c r="E23" s="38"/>
      <c r="F23" s="38"/>
      <c r="G23" s="38"/>
      <c r="H23" s="38"/>
      <c r="I23" s="81">
        <f>MAX('2'!C30:L30)</f>
        <v>0</v>
      </c>
      <c r="J23" s="46">
        <f>'2'!M31</f>
        <v>0</v>
      </c>
      <c r="K23" s="39" t="s">
        <v>35</v>
      </c>
    </row>
    <row r="24" spans="1:15">
      <c r="A24" s="33" t="s">
        <v>43</v>
      </c>
      <c r="B24" s="31"/>
      <c r="C24" s="31"/>
      <c r="D24" s="31"/>
      <c r="E24" s="31"/>
      <c r="F24" s="31"/>
      <c r="G24" s="31"/>
      <c r="H24" s="31"/>
      <c r="I24" s="34"/>
      <c r="J24" s="45">
        <f>SUM(J20:J23)</f>
        <v>814.99499999999989</v>
      </c>
      <c r="K24" s="34" t="s">
        <v>35</v>
      </c>
      <c r="L24" s="80"/>
    </row>
    <row r="25" spans="1:15">
      <c r="A25" s="31"/>
      <c r="B25" s="31"/>
      <c r="C25" s="31"/>
      <c r="D25" s="31"/>
      <c r="E25" s="31"/>
      <c r="F25" s="31"/>
      <c r="G25" s="31"/>
      <c r="H25" s="31"/>
      <c r="I25" s="2"/>
      <c r="J25" s="37"/>
      <c r="K25" s="34"/>
    </row>
    <row r="26" spans="1:15">
      <c r="A26" s="38" t="s">
        <v>41</v>
      </c>
      <c r="B26" s="38"/>
      <c r="C26" s="38"/>
      <c r="D26" s="38"/>
      <c r="E26" s="38"/>
      <c r="F26" s="38"/>
      <c r="G26" s="38"/>
      <c r="H26" s="38"/>
      <c r="I26" s="65" t="s">
        <v>74</v>
      </c>
      <c r="J26" s="46">
        <f>'2'!M37</f>
        <v>186.99607500000005</v>
      </c>
      <c r="K26" s="39" t="s">
        <v>35</v>
      </c>
    </row>
    <row r="27" spans="1:15">
      <c r="A27" s="33" t="s">
        <v>8</v>
      </c>
      <c r="B27" s="31"/>
      <c r="C27" s="31"/>
      <c r="D27" s="31"/>
      <c r="E27" s="31"/>
      <c r="F27" s="31"/>
      <c r="G27" s="31"/>
      <c r="H27" s="31"/>
      <c r="J27" s="45">
        <f>J24+J26</f>
        <v>1001.9910749999999</v>
      </c>
      <c r="K27" s="34" t="s">
        <v>35</v>
      </c>
    </row>
    <row r="29" spans="1:15" ht="15.6">
      <c r="A29" s="147" t="s">
        <v>98</v>
      </c>
      <c r="B29" s="147"/>
      <c r="C29" s="147"/>
      <c r="D29" s="147"/>
      <c r="E29" s="147"/>
      <c r="F29" s="90"/>
      <c r="G29" s="90"/>
      <c r="H29" s="91"/>
      <c r="I29" s="91"/>
      <c r="J29" s="91" t="s">
        <v>34</v>
      </c>
      <c r="K29" s="91" t="s">
        <v>33</v>
      </c>
    </row>
    <row r="30" spans="1:15">
      <c r="A30" s="31" t="s">
        <v>97</v>
      </c>
      <c r="B30" s="31"/>
      <c r="C30" s="31"/>
      <c r="D30" s="31"/>
      <c r="E30" s="31"/>
      <c r="F30" s="31"/>
      <c r="G30" s="31"/>
      <c r="H30" s="45"/>
      <c r="I30" s="45"/>
      <c r="J30" s="45">
        <f>J14</f>
        <v>4025.5</v>
      </c>
      <c r="K30" s="34" t="s">
        <v>35</v>
      </c>
    </row>
    <row r="31" spans="1:15">
      <c r="A31" s="31" t="s">
        <v>100</v>
      </c>
      <c r="B31" s="31"/>
      <c r="C31" s="31"/>
      <c r="D31" s="31"/>
      <c r="E31" s="31"/>
      <c r="F31" s="31"/>
      <c r="G31" s="31"/>
      <c r="H31" s="45"/>
      <c r="I31" s="45"/>
      <c r="J31" s="45">
        <f>IF(I11&lt;1,T16,T16*I11)</f>
        <v>753.75000000000011</v>
      </c>
      <c r="K31" s="34" t="s">
        <v>35</v>
      </c>
      <c r="L31" s="114" t="s">
        <v>34</v>
      </c>
    </row>
    <row r="32" spans="1:15">
      <c r="A32" s="38" t="s">
        <v>44</v>
      </c>
      <c r="B32" s="38"/>
      <c r="C32" s="38"/>
      <c r="D32" s="38"/>
      <c r="E32" s="38"/>
      <c r="F32" s="38"/>
      <c r="G32" s="38"/>
      <c r="H32" s="46"/>
      <c r="I32" s="46"/>
      <c r="J32" s="46">
        <f>J27</f>
        <v>1001.9910749999999</v>
      </c>
      <c r="K32" s="39" t="s">
        <v>35</v>
      </c>
      <c r="N32" s="2"/>
    </row>
    <row r="33" spans="1:17">
      <c r="A33" s="33" t="s">
        <v>99</v>
      </c>
      <c r="B33" s="31"/>
      <c r="C33" s="31"/>
      <c r="D33" s="31"/>
      <c r="E33" s="31"/>
      <c r="F33" s="31"/>
      <c r="G33" s="31"/>
      <c r="H33" s="45"/>
      <c r="I33" s="45"/>
      <c r="J33" s="45">
        <f>SUM(J30:J32)</f>
        <v>5781.2410749999999</v>
      </c>
      <c r="K33" s="34" t="s">
        <v>35</v>
      </c>
      <c r="M33" s="149" t="s">
        <v>122</v>
      </c>
      <c r="N33" s="149"/>
      <c r="O33" s="149"/>
      <c r="P33" s="149"/>
      <c r="Q33" s="149"/>
    </row>
    <row r="34" spans="1:17" ht="20.25" customHeight="1">
      <c r="A34" s="33"/>
      <c r="B34" s="31"/>
      <c r="C34" s="31"/>
      <c r="D34" s="31"/>
      <c r="E34" s="31"/>
      <c r="F34" s="31"/>
      <c r="G34" s="31"/>
      <c r="H34" s="37"/>
      <c r="I34" s="37"/>
      <c r="J34" s="37"/>
      <c r="K34" s="34"/>
      <c r="M34" s="150"/>
      <c r="N34" s="150"/>
      <c r="O34" s="150"/>
      <c r="P34" s="150"/>
      <c r="Q34" s="150"/>
    </row>
    <row r="35" spans="1:17" ht="15" customHeight="1">
      <c r="A35" s="162" t="s">
        <v>102</v>
      </c>
      <c r="B35" s="163"/>
      <c r="C35" s="163"/>
      <c r="D35" s="163"/>
      <c r="E35" s="163"/>
      <c r="F35" s="163"/>
      <c r="G35" s="163"/>
      <c r="H35" s="163"/>
      <c r="I35" s="163"/>
      <c r="J35" s="163"/>
      <c r="K35" s="164"/>
      <c r="M35" s="157" t="s">
        <v>46</v>
      </c>
      <c r="N35" s="170" t="s">
        <v>77</v>
      </c>
      <c r="O35" s="153" t="s">
        <v>118</v>
      </c>
      <c r="P35" s="155" t="s">
        <v>119</v>
      </c>
      <c r="Q35" s="168" t="s">
        <v>120</v>
      </c>
    </row>
    <row r="36" spans="1:17" ht="17.25" customHeight="1">
      <c r="A36" s="61" t="s">
        <v>46</v>
      </c>
      <c r="B36" s="125" t="s">
        <v>77</v>
      </c>
      <c r="C36" s="126"/>
      <c r="D36" s="127"/>
      <c r="E36" s="7" t="s">
        <v>1</v>
      </c>
      <c r="F36" s="125" t="s">
        <v>78</v>
      </c>
      <c r="G36" s="127"/>
      <c r="H36" s="5" t="s">
        <v>75</v>
      </c>
      <c r="I36" s="74" t="s">
        <v>8</v>
      </c>
      <c r="J36" s="128" t="s">
        <v>76</v>
      </c>
      <c r="K36" s="128"/>
      <c r="M36" s="158"/>
      <c r="N36" s="171"/>
      <c r="O36" s="154"/>
      <c r="P36" s="156"/>
      <c r="Q36" s="169"/>
    </row>
    <row r="37" spans="1:17">
      <c r="A37" s="61">
        <v>1</v>
      </c>
      <c r="B37" s="125" t="str">
        <f>+'2'!$C$11</f>
        <v>Clutch Master Cylinder</v>
      </c>
      <c r="C37" s="126"/>
      <c r="D37" s="127"/>
      <c r="E37" s="7">
        <f>+'2'!$C$52</f>
        <v>50</v>
      </c>
      <c r="F37" s="133">
        <f>+'2'!$C$15</f>
        <v>3.9</v>
      </c>
      <c r="G37" s="134"/>
      <c r="H37" s="75">
        <f>+'2'!$C$53</f>
        <v>5.6010036498571605</v>
      </c>
      <c r="I37" s="75">
        <f t="shared" ref="I37:I46" si="0">+E37*H37</f>
        <v>280.05018249285803</v>
      </c>
      <c r="J37" s="128">
        <f>H37*3.8</f>
        <v>21.283813869457209</v>
      </c>
      <c r="K37" s="128"/>
      <c r="M37" s="61">
        <v>1</v>
      </c>
      <c r="N37" s="105" t="str">
        <f>+B37</f>
        <v>Clutch Master Cylinder</v>
      </c>
      <c r="O37" s="107">
        <f>+F37</f>
        <v>3.9</v>
      </c>
      <c r="P37" s="75">
        <f>+H37</f>
        <v>5.6010036498571605</v>
      </c>
      <c r="Q37" s="109">
        <f>P37*3.8</f>
        <v>21.283813869457209</v>
      </c>
    </row>
    <row r="38" spans="1:17">
      <c r="A38" s="61">
        <v>2</v>
      </c>
      <c r="B38" s="125" t="str">
        <f>+'2'!$D$11</f>
        <v>Brake Caliper</v>
      </c>
      <c r="C38" s="126"/>
      <c r="D38" s="127"/>
      <c r="E38" s="7">
        <f>+'2'!$D$52</f>
        <v>50</v>
      </c>
      <c r="F38" s="133">
        <f>+'2'!$D$15</f>
        <v>15.5</v>
      </c>
      <c r="G38" s="134"/>
      <c r="H38" s="75">
        <f>+'2'!$D$53</f>
        <v>22.260399121227177</v>
      </c>
      <c r="I38" s="75">
        <f t="shared" si="0"/>
        <v>1113.0199560613589</v>
      </c>
      <c r="J38" s="128">
        <f t="shared" ref="J38:J40" si="1">H38*3.8</f>
        <v>84.589516660663264</v>
      </c>
      <c r="K38" s="128"/>
      <c r="M38" s="61">
        <v>2</v>
      </c>
      <c r="N38" s="105" t="str">
        <f t="shared" ref="N38:N43" si="2">+B38</f>
        <v>Brake Caliper</v>
      </c>
      <c r="O38" s="107">
        <f t="shared" ref="O38:O42" si="3">+F38</f>
        <v>15.5</v>
      </c>
      <c r="P38" s="75">
        <f t="shared" ref="P38:P43" si="4">+H38</f>
        <v>22.260399121227177</v>
      </c>
      <c r="Q38" s="109">
        <f t="shared" ref="Q38:Q43" si="5">P38*3.8</f>
        <v>84.589516660663264</v>
      </c>
    </row>
    <row r="39" spans="1:17">
      <c r="A39" s="61">
        <v>3</v>
      </c>
      <c r="B39" s="125" t="str">
        <f>+'2'!$E$11</f>
        <v>Brake Caliper</v>
      </c>
      <c r="C39" s="126"/>
      <c r="D39" s="127"/>
      <c r="E39" s="7">
        <f>+'2'!$E$52</f>
        <v>50</v>
      </c>
      <c r="F39" s="133">
        <f>+'2'!$E$15</f>
        <v>21</v>
      </c>
      <c r="G39" s="134"/>
      <c r="H39" s="75">
        <f>+'2'!$E$53</f>
        <v>30.159250422307785</v>
      </c>
      <c r="I39" s="75">
        <f t="shared" si="0"/>
        <v>1507.9625211153893</v>
      </c>
      <c r="J39" s="128">
        <f t="shared" si="1"/>
        <v>114.60515160476957</v>
      </c>
      <c r="K39" s="128"/>
      <c r="M39" s="61">
        <v>3</v>
      </c>
      <c r="N39" s="105" t="str">
        <f t="shared" si="2"/>
        <v>Brake Caliper</v>
      </c>
      <c r="O39" s="107">
        <f t="shared" si="3"/>
        <v>21</v>
      </c>
      <c r="P39" s="75">
        <f t="shared" si="4"/>
        <v>30.159250422307785</v>
      </c>
      <c r="Q39" s="109">
        <f t="shared" si="5"/>
        <v>114.60515160476957</v>
      </c>
    </row>
    <row r="40" spans="1:17">
      <c r="A40" s="61">
        <v>4</v>
      </c>
      <c r="B40" s="125" t="str">
        <f>+'2'!$F$11</f>
        <v>Brake Caliper</v>
      </c>
      <c r="C40" s="126"/>
      <c r="D40" s="127"/>
      <c r="E40" s="7">
        <f>+'2'!$F$52</f>
        <v>2</v>
      </c>
      <c r="F40" s="133">
        <f>+'2'!$F$15</f>
        <v>150</v>
      </c>
      <c r="G40" s="134"/>
      <c r="H40" s="75">
        <f>+'2'!$F$53</f>
        <v>215.42321730219851</v>
      </c>
      <c r="I40" s="75">
        <f t="shared" si="0"/>
        <v>430.84643460439702</v>
      </c>
      <c r="J40" s="128">
        <f t="shared" si="1"/>
        <v>818.60822574835424</v>
      </c>
      <c r="K40" s="128"/>
      <c r="M40" s="61">
        <v>4</v>
      </c>
      <c r="N40" s="105" t="str">
        <f t="shared" si="2"/>
        <v>Brake Caliper</v>
      </c>
      <c r="O40" s="107">
        <f t="shared" si="3"/>
        <v>150</v>
      </c>
      <c r="P40" s="75">
        <f t="shared" si="4"/>
        <v>215.42321730219851</v>
      </c>
      <c r="Q40" s="109">
        <f t="shared" si="5"/>
        <v>818.60822574835424</v>
      </c>
    </row>
    <row r="41" spans="1:17">
      <c r="A41" s="61">
        <v>5</v>
      </c>
      <c r="B41" s="125" t="str">
        <f>+'2'!$G$11</f>
        <v>Diferencial</v>
      </c>
      <c r="C41" s="126"/>
      <c r="D41" s="127"/>
      <c r="E41" s="7">
        <f>+'2'!$G$52</f>
        <v>2</v>
      </c>
      <c r="F41" s="133">
        <f>+'2'!$G$15</f>
        <v>156</v>
      </c>
      <c r="G41" s="134"/>
      <c r="H41" s="75">
        <f>+'2'!$G$53</f>
        <v>224.04014599428643</v>
      </c>
      <c r="I41" s="75">
        <f t="shared" si="0"/>
        <v>448.08029198857287</v>
      </c>
      <c r="J41" s="128">
        <f t="shared" ref="J41" si="6">H41*3.8</f>
        <v>851.35255477828844</v>
      </c>
      <c r="K41" s="128"/>
      <c r="M41" s="61">
        <v>5</v>
      </c>
      <c r="N41" s="105" t="str">
        <f t="shared" si="2"/>
        <v>Diferencial</v>
      </c>
      <c r="O41" s="107">
        <f t="shared" si="3"/>
        <v>156</v>
      </c>
      <c r="P41" s="75">
        <f t="shared" si="4"/>
        <v>224.04014599428643</v>
      </c>
      <c r="Q41" s="109">
        <f t="shared" si="5"/>
        <v>851.35255477828844</v>
      </c>
    </row>
    <row r="42" spans="1:17">
      <c r="A42" s="61">
        <v>6</v>
      </c>
      <c r="B42" s="125" t="str">
        <f>+'2'!$H$11</f>
        <v>Rodaje</v>
      </c>
      <c r="C42" s="126"/>
      <c r="D42" s="127"/>
      <c r="E42" s="7">
        <f>+'2'!$H$52</f>
        <v>50</v>
      </c>
      <c r="F42" s="133">
        <f>+'2'!$H$15</f>
        <v>4.78</v>
      </c>
      <c r="G42" s="134"/>
      <c r="H42" s="48">
        <f>+'2'!$H$53</f>
        <v>6.8648198580300583</v>
      </c>
      <c r="I42" s="122">
        <f t="shared" si="0"/>
        <v>343.24099290150292</v>
      </c>
      <c r="J42" s="128">
        <f t="shared" ref="J42" si="7">H42*3.8</f>
        <v>26.086315460514221</v>
      </c>
      <c r="K42" s="128"/>
      <c r="M42" s="61">
        <v>6</v>
      </c>
      <c r="N42" s="105" t="str">
        <f t="shared" si="2"/>
        <v>Rodaje</v>
      </c>
      <c r="O42" s="107">
        <f t="shared" si="3"/>
        <v>4.78</v>
      </c>
      <c r="P42" s="75">
        <f t="shared" si="4"/>
        <v>6.8648198580300583</v>
      </c>
      <c r="Q42" s="109">
        <f t="shared" si="5"/>
        <v>26.086315460514221</v>
      </c>
    </row>
    <row r="43" spans="1:17">
      <c r="A43" s="61">
        <v>7</v>
      </c>
      <c r="B43" s="125" t="str">
        <f>+'2'!$I$11</f>
        <v>Rodaje</v>
      </c>
      <c r="C43" s="126"/>
      <c r="D43" s="127"/>
      <c r="E43" s="7">
        <f>+'2'!$I$52</f>
        <v>50</v>
      </c>
      <c r="F43" s="133">
        <f>+'2'!$I$15</f>
        <v>6.48</v>
      </c>
      <c r="G43" s="134"/>
      <c r="H43" s="48">
        <f>+'2'!$I$53</f>
        <v>9.306282987454976</v>
      </c>
      <c r="I43" s="122">
        <f t="shared" si="0"/>
        <v>465.31414937274877</v>
      </c>
      <c r="J43" s="128">
        <f t="shared" ref="J43:J46" si="8">H43*3.8</f>
        <v>35.363875352328904</v>
      </c>
      <c r="K43" s="128"/>
      <c r="M43" s="61">
        <v>7</v>
      </c>
      <c r="N43" s="105" t="str">
        <f t="shared" si="2"/>
        <v>Rodaje</v>
      </c>
      <c r="O43" s="107">
        <f>+F43</f>
        <v>6.48</v>
      </c>
      <c r="P43" s="75">
        <f t="shared" si="4"/>
        <v>9.306282987454976</v>
      </c>
      <c r="Q43" s="109">
        <f t="shared" si="5"/>
        <v>35.363875352328904</v>
      </c>
    </row>
    <row r="44" spans="1:17">
      <c r="A44" s="61">
        <v>8</v>
      </c>
      <c r="B44" s="125" t="str">
        <f>+'2'!$J$11</f>
        <v>Rodaje</v>
      </c>
      <c r="C44" s="126"/>
      <c r="D44" s="127"/>
      <c r="E44" s="7">
        <f>+'2'!$J$52</f>
        <v>50</v>
      </c>
      <c r="F44" s="133">
        <f>+'2'!$J$15</f>
        <v>9.93</v>
      </c>
      <c r="G44" s="134"/>
      <c r="H44" s="48">
        <f>+'2'!$J$53</f>
        <v>14.26101698540554</v>
      </c>
      <c r="I44" s="122">
        <f t="shared" si="0"/>
        <v>713.05084927027701</v>
      </c>
      <c r="J44" s="128">
        <f t="shared" si="8"/>
        <v>54.191864544541048</v>
      </c>
      <c r="K44" s="128"/>
      <c r="M44" s="61">
        <v>8</v>
      </c>
      <c r="N44" s="105" t="str">
        <f t="shared" ref="N44:N46" si="9">+B44</f>
        <v>Rodaje</v>
      </c>
      <c r="O44" s="107">
        <f t="shared" ref="O44:O46" si="10">+F44</f>
        <v>9.93</v>
      </c>
      <c r="P44" s="75">
        <f t="shared" ref="P44:P46" si="11">+H44</f>
        <v>14.26101698540554</v>
      </c>
      <c r="Q44" s="109">
        <f t="shared" ref="Q44:Q46" si="12">P44*3.8</f>
        <v>54.191864544541048</v>
      </c>
    </row>
    <row r="45" spans="1:17">
      <c r="A45" s="61">
        <v>9</v>
      </c>
      <c r="B45" s="125" t="str">
        <f>+'2'!$K$11</f>
        <v>Rodaje</v>
      </c>
      <c r="C45" s="126"/>
      <c r="D45" s="127"/>
      <c r="E45" s="7">
        <f>+'2'!$K$52</f>
        <v>50</v>
      </c>
      <c r="F45" s="133">
        <f>+'2'!$K$15</f>
        <v>2.97</v>
      </c>
      <c r="G45" s="134"/>
      <c r="H45" s="48">
        <f>+'2'!$K$53</f>
        <v>4.2653797025835303</v>
      </c>
      <c r="I45" s="122">
        <f t="shared" si="0"/>
        <v>213.26898512917651</v>
      </c>
      <c r="J45" s="128">
        <f t="shared" si="8"/>
        <v>16.208442869817414</v>
      </c>
      <c r="K45" s="128"/>
      <c r="M45" s="61">
        <v>9</v>
      </c>
      <c r="N45" s="105" t="str">
        <f t="shared" si="9"/>
        <v>Rodaje</v>
      </c>
      <c r="O45" s="107">
        <f t="shared" si="10"/>
        <v>2.97</v>
      </c>
      <c r="P45" s="75">
        <f t="shared" si="11"/>
        <v>4.2653797025835303</v>
      </c>
      <c r="Q45" s="109">
        <f t="shared" si="12"/>
        <v>16.208442869817414</v>
      </c>
    </row>
    <row r="46" spans="1:17">
      <c r="A46" s="61">
        <v>10</v>
      </c>
      <c r="B46" s="125" t="str">
        <f>+'2'!$L$11</f>
        <v>Rodaje</v>
      </c>
      <c r="C46" s="126"/>
      <c r="D46" s="127"/>
      <c r="E46" s="7">
        <f>+'2'!$L$52</f>
        <v>50</v>
      </c>
      <c r="F46" s="133">
        <f>+'2'!$L$15</f>
        <v>3.71</v>
      </c>
      <c r="G46" s="134"/>
      <c r="H46" s="48">
        <f>+'2'!$L$53</f>
        <v>5.3281342412743768</v>
      </c>
      <c r="I46" s="122">
        <f t="shared" si="0"/>
        <v>266.40671206371883</v>
      </c>
      <c r="J46" s="128">
        <f t="shared" si="8"/>
        <v>20.246910116842631</v>
      </c>
      <c r="K46" s="128"/>
      <c r="M46" s="61">
        <v>10</v>
      </c>
      <c r="N46" s="105" t="str">
        <f t="shared" si="9"/>
        <v>Rodaje</v>
      </c>
      <c r="O46" s="107">
        <f t="shared" si="10"/>
        <v>3.71</v>
      </c>
      <c r="P46" s="75">
        <f t="shared" si="11"/>
        <v>5.3281342412743768</v>
      </c>
      <c r="Q46" s="109">
        <f t="shared" si="12"/>
        <v>20.246910116842631</v>
      </c>
    </row>
    <row r="47" spans="1:17" ht="15.6">
      <c r="A47" s="66" t="s">
        <v>8</v>
      </c>
      <c r="B47" s="2"/>
      <c r="C47" s="2"/>
      <c r="D47" s="2"/>
      <c r="E47" s="43">
        <f>+SUM(E37:E46)</f>
        <v>404</v>
      </c>
      <c r="F47" s="2"/>
      <c r="G47" s="2"/>
      <c r="I47" s="123">
        <f>+SUM(I37:I46)</f>
        <v>5781.2410749999999</v>
      </c>
      <c r="J47" s="76"/>
      <c r="K47" s="77"/>
      <c r="L47" s="2"/>
    </row>
    <row r="48" spans="1:17" ht="15.75" customHeight="1">
      <c r="A48" s="66"/>
      <c r="B48" s="2"/>
      <c r="C48" s="2"/>
      <c r="D48" s="2"/>
      <c r="E48" s="43"/>
      <c r="F48" s="2"/>
      <c r="G48" s="2"/>
      <c r="I48" s="95"/>
      <c r="J48" s="76"/>
      <c r="K48" s="77"/>
      <c r="M48" s="142" t="s">
        <v>121</v>
      </c>
      <c r="N48" s="142"/>
      <c r="O48" s="142"/>
      <c r="P48" s="129" t="s">
        <v>127</v>
      </c>
      <c r="Q48" s="130"/>
    </row>
    <row r="49" spans="1:19" ht="18.75" customHeight="1">
      <c r="A49" s="93" t="s">
        <v>53</v>
      </c>
      <c r="B49" s="31"/>
      <c r="C49" s="31"/>
      <c r="D49" s="31"/>
      <c r="E49" s="31"/>
      <c r="F49" s="31"/>
      <c r="G49" s="31"/>
      <c r="H49" s="31"/>
      <c r="I49" s="31"/>
      <c r="J49" s="31"/>
      <c r="M49" s="142"/>
      <c r="N49" s="142"/>
      <c r="O49" s="142"/>
      <c r="P49" s="131"/>
      <c r="Q49" s="132"/>
    </row>
    <row r="50" spans="1:19" ht="21">
      <c r="A50" s="94" t="s">
        <v>92</v>
      </c>
      <c r="B50" s="31"/>
      <c r="C50" s="31"/>
      <c r="D50" s="31"/>
      <c r="E50" s="31"/>
      <c r="F50" s="31"/>
      <c r="G50" s="31"/>
      <c r="H50" s="31"/>
      <c r="I50" s="31"/>
      <c r="J50" s="31"/>
      <c r="M50" s="135" t="s">
        <v>123</v>
      </c>
      <c r="N50" s="136"/>
      <c r="O50" s="110">
        <f>+J31</f>
        <v>753.75000000000011</v>
      </c>
      <c r="P50" s="108" t="s">
        <v>143</v>
      </c>
    </row>
    <row r="51" spans="1:19" ht="21">
      <c r="A51" s="94" t="s">
        <v>93</v>
      </c>
      <c r="B51" s="31"/>
      <c r="C51" s="31"/>
      <c r="D51" s="31"/>
      <c r="E51" s="31"/>
      <c r="F51" s="31"/>
      <c r="G51" s="31"/>
      <c r="H51" s="31"/>
      <c r="I51" s="31"/>
      <c r="J51" s="31"/>
      <c r="M51" s="135" t="s">
        <v>124</v>
      </c>
      <c r="N51" s="136"/>
      <c r="O51" s="110">
        <f>+J32</f>
        <v>1001.9910749999999</v>
      </c>
      <c r="P51" s="108" t="s">
        <v>144</v>
      </c>
    </row>
    <row r="52" spans="1:19" ht="18">
      <c r="A52" s="94" t="s">
        <v>111</v>
      </c>
      <c r="B52" s="31"/>
      <c r="C52" s="31"/>
      <c r="D52" s="31"/>
      <c r="E52" s="31"/>
      <c r="F52" s="31"/>
      <c r="G52" s="31"/>
      <c r="H52" s="31"/>
      <c r="I52" s="31"/>
      <c r="J52" s="31"/>
    </row>
    <row r="53" spans="1:19" ht="18">
      <c r="A53" s="94" t="s">
        <v>94</v>
      </c>
      <c r="B53" s="31"/>
      <c r="C53" s="31"/>
      <c r="D53" s="31"/>
      <c r="E53" s="31"/>
      <c r="F53" s="31"/>
      <c r="G53" s="31"/>
      <c r="H53" s="31"/>
      <c r="I53" s="31"/>
      <c r="J53" s="31"/>
      <c r="M53" s="137" t="s">
        <v>126</v>
      </c>
      <c r="N53" s="137"/>
      <c r="O53" s="138">
        <f>+O50+O51+J14</f>
        <v>5781.2410749999999</v>
      </c>
      <c r="P53" s="140" t="s">
        <v>125</v>
      </c>
      <c r="Q53" s="141"/>
      <c r="S53" s="143"/>
    </row>
    <row r="54" spans="1:19" ht="18.75" customHeight="1">
      <c r="A54" s="94" t="s">
        <v>112</v>
      </c>
      <c r="B54" s="31"/>
      <c r="C54" s="31"/>
      <c r="D54" s="31"/>
      <c r="E54" s="31"/>
      <c r="F54" s="31"/>
      <c r="G54" s="31"/>
      <c r="H54" s="31"/>
      <c r="I54" s="31"/>
      <c r="J54" s="31"/>
      <c r="M54" s="137"/>
      <c r="N54" s="137"/>
      <c r="O54" s="139"/>
      <c r="P54" s="140"/>
      <c r="Q54" s="141"/>
      <c r="S54" s="143"/>
    </row>
    <row r="55" spans="1:19" ht="18.75" customHeight="1">
      <c r="A55" s="94" t="s">
        <v>113</v>
      </c>
      <c r="B55" s="31"/>
      <c r="C55" s="31"/>
      <c r="D55" s="31"/>
      <c r="E55" s="31"/>
      <c r="F55" s="31"/>
      <c r="G55" s="31"/>
      <c r="H55" s="31"/>
      <c r="I55" s="31"/>
      <c r="J55" s="31"/>
      <c r="S55" s="143"/>
    </row>
    <row r="56" spans="1:19" ht="18">
      <c r="A56" s="94" t="s">
        <v>114</v>
      </c>
      <c r="B56" s="31"/>
      <c r="C56" s="31"/>
      <c r="D56" s="31"/>
      <c r="E56" s="31"/>
      <c r="F56" s="31"/>
      <c r="G56" s="31"/>
      <c r="H56" s="31"/>
      <c r="I56" s="31"/>
      <c r="J56" s="31"/>
      <c r="S56" s="143"/>
    </row>
    <row r="57" spans="1:19" ht="18">
      <c r="A57" s="94" t="s">
        <v>110</v>
      </c>
      <c r="B57" s="31"/>
      <c r="C57" s="31"/>
      <c r="D57" s="31"/>
      <c r="E57" s="31"/>
      <c r="F57" s="31"/>
      <c r="G57" s="31"/>
      <c r="H57" s="31"/>
      <c r="I57" s="31"/>
      <c r="J57" s="31"/>
      <c r="S57" s="143"/>
    </row>
    <row r="58" spans="1:19">
      <c r="A58" s="31"/>
      <c r="B58" s="31"/>
      <c r="C58" s="31"/>
      <c r="D58" s="31"/>
      <c r="E58" s="31"/>
      <c r="F58" s="31"/>
      <c r="G58" s="31"/>
      <c r="H58" s="31"/>
      <c r="I58" s="31"/>
      <c r="J58" s="31"/>
      <c r="S58" s="143"/>
    </row>
    <row r="60" spans="1:19" ht="18">
      <c r="H60" s="32"/>
      <c r="I60" s="32"/>
      <c r="J60" s="32"/>
      <c r="K60" s="31"/>
    </row>
    <row r="61" spans="1:19" ht="18">
      <c r="H61" s="32"/>
      <c r="I61" s="32"/>
      <c r="J61" s="32"/>
      <c r="K61" s="31"/>
    </row>
    <row r="63" spans="1:19">
      <c r="H63" s="40"/>
      <c r="I63" s="40"/>
      <c r="J63" s="40"/>
    </row>
    <row r="65" spans="1:11" ht="21">
      <c r="A65" s="159" t="s">
        <v>45</v>
      </c>
      <c r="B65" s="159"/>
      <c r="C65" s="159"/>
      <c r="D65" s="159"/>
      <c r="E65" s="159"/>
      <c r="F65" s="159"/>
      <c r="G65" s="159"/>
      <c r="H65" s="159"/>
      <c r="I65" s="159"/>
      <c r="J65" s="159"/>
      <c r="K65" s="159"/>
    </row>
    <row r="69" spans="1:11">
      <c r="A69" s="51" t="s">
        <v>47</v>
      </c>
      <c r="B69" s="31"/>
      <c r="C69" s="31"/>
      <c r="D69" s="31"/>
    </row>
    <row r="70" spans="1:11">
      <c r="A70" s="51" t="s">
        <v>56</v>
      </c>
      <c r="B70" s="31"/>
      <c r="C70" s="31"/>
      <c r="D70" s="31"/>
    </row>
    <row r="71" spans="1:11">
      <c r="A71" s="31" t="s">
        <v>55</v>
      </c>
      <c r="C71" s="31"/>
      <c r="D71" s="31"/>
    </row>
    <row r="72" spans="1:11">
      <c r="A72" s="51" t="s">
        <v>48</v>
      </c>
      <c r="B72" s="31"/>
      <c r="C72" s="31"/>
      <c r="D72" s="31"/>
    </row>
    <row r="73" spans="1:11">
      <c r="A73" s="51" t="s">
        <v>58</v>
      </c>
      <c r="B73" s="31"/>
      <c r="C73" s="31"/>
      <c r="D73" s="31"/>
    </row>
    <row r="74" spans="1:11">
      <c r="A74" s="31" t="s">
        <v>57</v>
      </c>
      <c r="C74" s="31"/>
      <c r="D74" s="31"/>
    </row>
    <row r="75" spans="1:11">
      <c r="A75" s="51" t="s">
        <v>49</v>
      </c>
      <c r="B75" s="31"/>
      <c r="C75" s="31"/>
      <c r="D75" s="31"/>
    </row>
    <row r="76" spans="1:11">
      <c r="A76" s="51" t="s">
        <v>51</v>
      </c>
      <c r="B76" s="31"/>
      <c r="C76" s="31"/>
      <c r="D76" s="31"/>
    </row>
    <row r="77" spans="1:11">
      <c r="A77" s="51" t="s">
        <v>59</v>
      </c>
      <c r="B77" s="31"/>
      <c r="C77" s="31"/>
      <c r="D77" s="31"/>
    </row>
    <row r="78" spans="1:11">
      <c r="A78" s="51" t="s">
        <v>60</v>
      </c>
      <c r="B78" s="31"/>
      <c r="C78" s="31"/>
      <c r="D78" s="31"/>
    </row>
    <row r="79" spans="1:11">
      <c r="A79" s="51" t="s">
        <v>62</v>
      </c>
      <c r="B79" s="31"/>
      <c r="C79" s="31"/>
      <c r="D79" s="31"/>
    </row>
    <row r="80" spans="1:11">
      <c r="A80" s="51" t="s">
        <v>61</v>
      </c>
      <c r="B80" s="31"/>
      <c r="C80" s="31"/>
      <c r="D80" s="31"/>
    </row>
    <row r="81" spans="1:10">
      <c r="A81" s="51" t="s">
        <v>50</v>
      </c>
      <c r="B81" s="31"/>
      <c r="C81" s="31"/>
      <c r="D81" s="31"/>
    </row>
    <row r="82" spans="1:10">
      <c r="A82" s="51" t="s">
        <v>131</v>
      </c>
      <c r="B82" s="31"/>
      <c r="C82" s="31"/>
      <c r="D82" s="31"/>
    </row>
    <row r="86" spans="1:10">
      <c r="A86" s="51" t="s">
        <v>63</v>
      </c>
      <c r="B86" s="31"/>
      <c r="C86" s="31"/>
      <c r="D86" s="31"/>
      <c r="E86" s="31"/>
      <c r="F86" s="31"/>
      <c r="G86" s="31"/>
      <c r="H86" s="31"/>
      <c r="I86" s="31"/>
      <c r="J86" s="31"/>
    </row>
    <row r="87" spans="1:10">
      <c r="A87" s="112" t="s">
        <v>128</v>
      </c>
      <c r="B87" s="31"/>
      <c r="C87" s="31"/>
      <c r="D87" s="31"/>
      <c r="E87" s="31"/>
      <c r="F87" s="31"/>
      <c r="G87" s="31"/>
      <c r="H87" s="31"/>
      <c r="I87" s="31"/>
      <c r="J87" s="31"/>
    </row>
    <row r="88" spans="1:10">
      <c r="A88" s="51" t="s">
        <v>64</v>
      </c>
      <c r="B88" s="31"/>
      <c r="C88" s="31"/>
      <c r="D88" s="31"/>
      <c r="E88" s="31"/>
      <c r="F88" s="31"/>
      <c r="G88" s="31"/>
      <c r="H88" s="31"/>
      <c r="I88" s="31"/>
      <c r="J88" s="31"/>
    </row>
    <row r="89" spans="1:10">
      <c r="A89" s="111" t="s">
        <v>129</v>
      </c>
      <c r="C89" s="31"/>
      <c r="D89" s="31"/>
      <c r="E89" s="31"/>
      <c r="F89" s="31"/>
      <c r="G89" s="31"/>
      <c r="H89" s="31"/>
      <c r="I89" s="31"/>
      <c r="J89" s="31"/>
    </row>
    <row r="90" spans="1:10">
      <c r="A90" s="51" t="s">
        <v>65</v>
      </c>
      <c r="B90" s="31"/>
      <c r="C90" s="31"/>
      <c r="D90" s="31"/>
      <c r="E90" s="31"/>
      <c r="F90" s="31"/>
      <c r="G90" s="31"/>
      <c r="H90" s="31"/>
      <c r="I90" s="31"/>
      <c r="J90" s="31"/>
    </row>
    <row r="91" spans="1:10">
      <c r="A91" s="35" t="s">
        <v>52</v>
      </c>
      <c r="C91" s="31"/>
      <c r="D91" s="31"/>
      <c r="E91" s="31"/>
      <c r="F91" s="31"/>
      <c r="G91" s="31"/>
      <c r="H91" s="31"/>
      <c r="I91" s="31"/>
      <c r="J91" s="31"/>
    </row>
    <row r="92" spans="1:10">
      <c r="A92" s="51" t="s">
        <v>66</v>
      </c>
      <c r="B92" s="31"/>
      <c r="C92" s="31"/>
      <c r="D92" s="31"/>
      <c r="E92" s="31"/>
      <c r="F92" s="31"/>
      <c r="G92" s="31"/>
      <c r="H92" s="31"/>
      <c r="I92" s="31"/>
      <c r="J92" s="31"/>
    </row>
    <row r="93" spans="1:10">
      <c r="A93" s="51" t="s">
        <v>67</v>
      </c>
      <c r="B93" s="31"/>
      <c r="C93" s="31"/>
      <c r="D93" s="31"/>
      <c r="E93" s="31"/>
      <c r="F93" s="31"/>
      <c r="G93" s="31"/>
      <c r="H93" s="31"/>
      <c r="I93" s="31"/>
      <c r="J93" s="31"/>
    </row>
    <row r="94" spans="1:10">
      <c r="A94" s="51" t="s">
        <v>68</v>
      </c>
      <c r="B94" s="31"/>
      <c r="C94" s="31"/>
      <c r="D94" s="31"/>
      <c r="E94" s="31"/>
      <c r="F94" s="31"/>
      <c r="G94" s="31"/>
      <c r="H94" s="31"/>
      <c r="I94" s="31"/>
      <c r="J94" s="31"/>
    </row>
    <row r="95" spans="1:10">
      <c r="A95" s="51" t="s">
        <v>69</v>
      </c>
      <c r="B95" s="31"/>
      <c r="C95" s="31"/>
      <c r="D95" s="31"/>
      <c r="E95" s="31"/>
      <c r="F95" s="31"/>
      <c r="G95" s="31"/>
      <c r="H95" s="31"/>
      <c r="I95" s="31"/>
      <c r="J95" s="31"/>
    </row>
    <row r="96" spans="1:10">
      <c r="A96" s="51" t="s">
        <v>130</v>
      </c>
      <c r="B96" s="31"/>
      <c r="C96" s="31"/>
      <c r="D96" s="31"/>
      <c r="E96" s="31"/>
      <c r="F96" s="31"/>
      <c r="G96" s="31"/>
      <c r="H96" s="31"/>
      <c r="I96" s="31"/>
      <c r="J96" s="31"/>
    </row>
    <row r="100" spans="1:4">
      <c r="A100" s="51" t="s">
        <v>83</v>
      </c>
      <c r="B100" s="31"/>
      <c r="C100" s="31"/>
      <c r="D100" s="31"/>
    </row>
    <row r="101" spans="1:4">
      <c r="A101" s="51" t="s">
        <v>84</v>
      </c>
      <c r="B101" s="31"/>
      <c r="C101" s="31"/>
      <c r="D101" s="31"/>
    </row>
    <row r="102" spans="1:4">
      <c r="A102" s="41" t="s">
        <v>132</v>
      </c>
      <c r="B102" s="31"/>
      <c r="C102" s="31"/>
      <c r="D102" s="31"/>
    </row>
    <row r="103" spans="1:4">
      <c r="A103" s="41" t="s">
        <v>133</v>
      </c>
    </row>
    <row r="104" spans="1:4">
      <c r="A104" s="41" t="s">
        <v>134</v>
      </c>
    </row>
    <row r="109" spans="1:4">
      <c r="B109" s="41"/>
    </row>
    <row r="110" spans="1:4" ht="15.6">
      <c r="B110" s="42"/>
    </row>
    <row r="111" spans="1:4" ht="15.6">
      <c r="B111" s="42"/>
    </row>
    <row r="113" spans="2:10">
      <c r="C113" s="43"/>
      <c r="H113" s="43"/>
      <c r="I113" s="43"/>
      <c r="J113" s="43"/>
    </row>
    <row r="114" spans="2:10">
      <c r="C114" s="43"/>
      <c r="H114" s="43"/>
      <c r="I114" s="43"/>
      <c r="J114" s="43"/>
    </row>
    <row r="116" spans="2:10">
      <c r="C116" s="2"/>
      <c r="H116" s="2"/>
      <c r="I116" s="2"/>
      <c r="J116" s="2"/>
    </row>
    <row r="118" spans="2:10" ht="15.6">
      <c r="B118" s="44"/>
    </row>
  </sheetData>
  <sheetProtection selectLockedCells="1"/>
  <mergeCells count="62">
    <mergeCell ref="Y11:Y16"/>
    <mergeCell ref="E9:F9"/>
    <mergeCell ref="B38:D38"/>
    <mergeCell ref="F38:G38"/>
    <mergeCell ref="J38:K38"/>
    <mergeCell ref="Q35:Q36"/>
    <mergeCell ref="J41:K41"/>
    <mergeCell ref="J42:K42"/>
    <mergeCell ref="J43:K43"/>
    <mergeCell ref="B43:D43"/>
    <mergeCell ref="N35:N36"/>
    <mergeCell ref="A65:K65"/>
    <mergeCell ref="B41:D41"/>
    <mergeCell ref="J37:K37"/>
    <mergeCell ref="A15:C15"/>
    <mergeCell ref="A14:C14"/>
    <mergeCell ref="B37:D37"/>
    <mergeCell ref="F37:G37"/>
    <mergeCell ref="F36:G36"/>
    <mergeCell ref="A35:K35"/>
    <mergeCell ref="B40:D40"/>
    <mergeCell ref="J39:K39"/>
    <mergeCell ref="J40:K40"/>
    <mergeCell ref="F44:G44"/>
    <mergeCell ref="F43:G43"/>
    <mergeCell ref="F41:G41"/>
    <mergeCell ref="F40:G40"/>
    <mergeCell ref="J44:K44"/>
    <mergeCell ref="B44:D44"/>
    <mergeCell ref="B45:D45"/>
    <mergeCell ref="B46:D46"/>
    <mergeCell ref="M53:N54"/>
    <mergeCell ref="O53:O54"/>
    <mergeCell ref="P53:Q54"/>
    <mergeCell ref="M48:O49"/>
    <mergeCell ref="S53:S58"/>
    <mergeCell ref="F3:I3"/>
    <mergeCell ref="F4:I4"/>
    <mergeCell ref="D7:F7"/>
    <mergeCell ref="B36:D36"/>
    <mergeCell ref="I11:K11"/>
    <mergeCell ref="A29:E29"/>
    <mergeCell ref="B39:D39"/>
    <mergeCell ref="F39:G39"/>
    <mergeCell ref="B42:D42"/>
    <mergeCell ref="F42:G42"/>
    <mergeCell ref="A13:E13"/>
    <mergeCell ref="A19:E19"/>
    <mergeCell ref="M33:Q34"/>
    <mergeCell ref="I8:K8"/>
    <mergeCell ref="I9:K9"/>
    <mergeCell ref="J36:K36"/>
    <mergeCell ref="O35:O36"/>
    <mergeCell ref="P35:P36"/>
    <mergeCell ref="M35:M36"/>
    <mergeCell ref="M50:N50"/>
    <mergeCell ref="M51:N51"/>
    <mergeCell ref="F45:G45"/>
    <mergeCell ref="F46:G46"/>
    <mergeCell ref="J45:K45"/>
    <mergeCell ref="P48:Q49"/>
    <mergeCell ref="J46:K46"/>
  </mergeCells>
  <dataValidations count="2">
    <dataValidation type="custom" showInputMessage="1" showErrorMessage="1" errorTitle="COMPROBAR CANTIDAD DE CAJAS" error="Se debe ingresar la cantidad de cajas" sqref="I11" xr:uid="{3C2F8455-5D0D-41B0-BE98-F91BBC4383D3}">
      <formula1>I8&gt;0</formula1>
    </dataValidation>
    <dataValidation type="list" allowBlank="1" showInputMessage="1" showErrorMessage="1" sqref="E11" xr:uid="{543061A4-B74B-4C59-A4B0-2AF20D851021}">
      <formula1>$W$4:$W$8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62" fitToWidth="2" fitToHeight="2" orientation="portrait" horizontalDpi="360" verticalDpi="360" r:id="rId1"/>
  <rowBreaks count="1" manualBreakCount="1">
    <brk id="58" max="10" man="1"/>
  </rowBreaks>
  <cellWatches>
    <cellWatch r="J16"/>
  </cellWatches>
  <ignoredErrors>
    <ignoredError sqref="I26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gdfg">
                <anchor moveWithCells="1" sizeWithCells="1">
                  <from>
                    <xdr:col>17</xdr:col>
                    <xdr:colOff>220980</xdr:colOff>
                    <xdr:row>2</xdr:row>
                    <xdr:rowOff>220980</xdr:rowOff>
                  </from>
                  <to>
                    <xdr:col>18</xdr:col>
                    <xdr:colOff>464820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E54"/>
  <sheetViews>
    <sheetView topLeftCell="A3" zoomScaleNormal="100" workbookViewId="0">
      <selection activeCell="E20" sqref="E20"/>
    </sheetView>
  </sheetViews>
  <sheetFormatPr baseColWidth="10" defaultRowHeight="14.4"/>
  <cols>
    <col min="1" max="1" width="2.88671875" style="1" customWidth="1"/>
    <col min="2" max="2" width="19.44140625" style="1" customWidth="1"/>
    <col min="3" max="12" width="11.33203125" style="2" customWidth="1"/>
    <col min="13" max="14" width="11.44140625" style="2"/>
    <col min="15" max="15" width="11.33203125" style="2" customWidth="1"/>
    <col min="16" max="17" width="11.44140625" style="2"/>
    <col min="18" max="18" width="13.44140625" style="2" bestFit="1" customWidth="1"/>
    <col min="19" max="19" width="11.44140625" style="2" customWidth="1"/>
    <col min="20" max="20" width="14" style="2" customWidth="1"/>
    <col min="21" max="21" width="11.88671875" style="2" bestFit="1" customWidth="1"/>
    <col min="22" max="56" width="11.44140625" style="1"/>
  </cols>
  <sheetData>
    <row r="1" spans="2:56" ht="15" thickBot="1">
      <c r="B1" s="176" t="s">
        <v>12</v>
      </c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8"/>
    </row>
    <row r="2" spans="2:56" s="1" customFormat="1" ht="35.1" customHeight="1"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</row>
    <row r="3" spans="2:56" s="1" customFormat="1" ht="23.1" customHeight="1"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116" t="s">
        <v>137</v>
      </c>
      <c r="N3" s="43"/>
      <c r="O3" s="43"/>
      <c r="P3" s="43"/>
      <c r="Q3" s="43"/>
      <c r="R3" s="43"/>
      <c r="S3" s="43"/>
      <c r="T3" s="43"/>
      <c r="U3" s="43"/>
    </row>
    <row r="4" spans="2:56">
      <c r="B4" s="113" t="s">
        <v>135</v>
      </c>
      <c r="C4" s="179">
        <v>1</v>
      </c>
      <c r="D4" s="179"/>
      <c r="E4" s="179"/>
      <c r="F4" s="179"/>
      <c r="G4" s="179"/>
      <c r="H4" s="179">
        <v>2</v>
      </c>
      <c r="I4" s="179"/>
      <c r="J4" s="179"/>
      <c r="K4" s="179"/>
      <c r="L4" s="179"/>
      <c r="M4" s="116">
        <f>COUNT(C4:L4)</f>
        <v>2</v>
      </c>
      <c r="N4" s="43"/>
      <c r="O4" s="43"/>
      <c r="P4" s="43"/>
      <c r="Q4" s="43"/>
      <c r="R4" s="43"/>
      <c r="S4" s="43"/>
      <c r="T4" s="43"/>
      <c r="U4" s="43"/>
    </row>
    <row r="5" spans="2:56">
      <c r="B5" s="113" t="s">
        <v>30</v>
      </c>
      <c r="C5" s="180">
        <v>31</v>
      </c>
      <c r="D5" s="180"/>
      <c r="E5" s="180"/>
      <c r="F5" s="180"/>
      <c r="G5" s="180"/>
      <c r="H5" s="179">
        <v>5</v>
      </c>
      <c r="I5" s="179"/>
      <c r="J5" s="179"/>
      <c r="K5" s="179"/>
      <c r="L5" s="179"/>
      <c r="M5" s="116">
        <f>SUM(C5:L5)</f>
        <v>36</v>
      </c>
    </row>
    <row r="6" spans="2:56">
      <c r="B6" s="113" t="s">
        <v>95</v>
      </c>
      <c r="C6" s="180">
        <v>829.7</v>
      </c>
      <c r="D6" s="180"/>
      <c r="E6" s="180"/>
      <c r="F6" s="180"/>
      <c r="G6" s="180"/>
      <c r="H6" s="179">
        <v>1000</v>
      </c>
      <c r="I6" s="179"/>
      <c r="J6" s="179"/>
      <c r="K6" s="179"/>
      <c r="L6" s="179"/>
      <c r="M6" s="116">
        <f>SUM(C6:L6)</f>
        <v>1829.7</v>
      </c>
    </row>
    <row r="7" spans="2:56">
      <c r="B7" s="113" t="s">
        <v>73</v>
      </c>
      <c r="C7" s="124"/>
      <c r="D7" s="124"/>
      <c r="E7" s="124"/>
      <c r="F7" s="7"/>
      <c r="G7" s="7"/>
      <c r="H7" s="7"/>
      <c r="I7" s="124"/>
      <c r="J7" s="124"/>
      <c r="K7" s="124"/>
      <c r="L7" s="7"/>
    </row>
    <row r="8" spans="2:56">
      <c r="B8" s="113" t="s">
        <v>136</v>
      </c>
      <c r="C8" s="179">
        <v>0.91</v>
      </c>
      <c r="D8" s="179"/>
      <c r="E8" s="179"/>
      <c r="F8" s="179"/>
      <c r="G8" s="179"/>
      <c r="H8" s="179">
        <v>1.1000000000000001</v>
      </c>
      <c r="I8" s="179"/>
      <c r="J8" s="179"/>
      <c r="K8" s="179"/>
      <c r="L8" s="179"/>
      <c r="M8" s="116">
        <f>SUM(C8:L8)</f>
        <v>2.0100000000000002</v>
      </c>
    </row>
    <row r="9" spans="2:56" s="1" customFormat="1">
      <c r="B9" s="118"/>
      <c r="C9" s="2"/>
      <c r="D9" s="2"/>
      <c r="E9" s="2"/>
      <c r="F9" s="2"/>
      <c r="G9" s="2"/>
      <c r="H9" s="2"/>
      <c r="I9" s="2"/>
      <c r="J9" s="2"/>
      <c r="K9" s="2"/>
      <c r="L9" s="2"/>
      <c r="M9" s="119"/>
      <c r="N9" s="2"/>
      <c r="O9" s="2"/>
      <c r="P9" s="2"/>
      <c r="Q9" s="2"/>
      <c r="R9" s="2"/>
      <c r="S9" s="2"/>
      <c r="T9" s="2"/>
      <c r="U9" s="2"/>
    </row>
    <row r="10" spans="2:56">
      <c r="C10" s="117">
        <v>1</v>
      </c>
      <c r="D10" s="117">
        <v>2</v>
      </c>
      <c r="E10" s="117">
        <v>3</v>
      </c>
      <c r="F10" s="117">
        <v>4</v>
      </c>
      <c r="G10" s="117">
        <v>5</v>
      </c>
      <c r="H10" s="117">
        <v>6</v>
      </c>
      <c r="I10" s="117">
        <v>7</v>
      </c>
      <c r="J10" s="117">
        <v>8</v>
      </c>
      <c r="K10" s="117">
        <v>9</v>
      </c>
      <c r="L10" s="117">
        <v>10</v>
      </c>
    </row>
    <row r="11" spans="2:56" ht="15" customHeight="1">
      <c r="B11" s="103" t="s">
        <v>90</v>
      </c>
      <c r="C11" s="103" t="s">
        <v>139</v>
      </c>
      <c r="D11" s="103" t="s">
        <v>140</v>
      </c>
      <c r="E11" s="103" t="s">
        <v>140</v>
      </c>
      <c r="F11" s="103" t="s">
        <v>140</v>
      </c>
      <c r="G11" s="103" t="s">
        <v>141</v>
      </c>
      <c r="H11" s="103" t="s">
        <v>142</v>
      </c>
      <c r="I11" s="103" t="s">
        <v>142</v>
      </c>
      <c r="J11" s="103" t="s">
        <v>142</v>
      </c>
      <c r="K11" s="103" t="s">
        <v>142</v>
      </c>
      <c r="L11" s="103" t="s">
        <v>142</v>
      </c>
      <c r="M11" s="103" t="s">
        <v>8</v>
      </c>
    </row>
    <row r="12" spans="2:56" ht="15" hidden="1" customHeight="1">
      <c r="B12" s="5" t="s">
        <v>96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101">
        <f>SUM(C12:L12)</f>
        <v>0</v>
      </c>
    </row>
    <row r="13" spans="2:56" ht="15" hidden="1" customHeight="1">
      <c r="B13" s="5" t="s">
        <v>95</v>
      </c>
      <c r="C13" s="99"/>
      <c r="D13" s="99"/>
      <c r="E13" s="99"/>
      <c r="F13" s="99"/>
      <c r="G13" s="99"/>
      <c r="H13" s="99"/>
      <c r="I13" s="99"/>
      <c r="J13" s="99"/>
      <c r="K13" s="99"/>
      <c r="L13" s="99"/>
      <c r="M13" s="102">
        <f>SUM(C13:L13)</f>
        <v>0</v>
      </c>
    </row>
    <row r="14" spans="2:56" ht="15" hidden="1" customHeight="1">
      <c r="B14" s="5" t="s">
        <v>88</v>
      </c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100">
        <f>SUM(C14:L14)</f>
        <v>0</v>
      </c>
      <c r="N14" s="1"/>
      <c r="Q14" s="1"/>
      <c r="R14" s="1"/>
      <c r="S14" s="1"/>
      <c r="T14" s="1"/>
      <c r="U14" s="1"/>
      <c r="AW14"/>
      <c r="AX14"/>
      <c r="AY14"/>
      <c r="AZ14"/>
      <c r="BA14"/>
      <c r="BB14"/>
      <c r="BC14"/>
      <c r="BD14"/>
    </row>
    <row r="15" spans="2:56" ht="15" customHeight="1">
      <c r="B15" s="96" t="s">
        <v>0</v>
      </c>
      <c r="C15" s="97">
        <v>3.9</v>
      </c>
      <c r="D15" s="97">
        <v>15.5</v>
      </c>
      <c r="E15" s="97">
        <v>21</v>
      </c>
      <c r="F15" s="97">
        <v>150</v>
      </c>
      <c r="G15" s="97">
        <v>156</v>
      </c>
      <c r="H15" s="97">
        <v>4.78</v>
      </c>
      <c r="I15" s="97">
        <v>6.48</v>
      </c>
      <c r="J15" s="97">
        <v>9.93</v>
      </c>
      <c r="K15" s="97">
        <v>2.97</v>
      </c>
      <c r="L15" s="97">
        <v>3.71</v>
      </c>
      <c r="M15" s="1"/>
      <c r="N15" s="3"/>
      <c r="Q15" s="3"/>
      <c r="R15" s="3"/>
      <c r="S15" s="3"/>
      <c r="T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W15"/>
      <c r="AX15"/>
      <c r="AY15"/>
      <c r="AZ15"/>
      <c r="BA15"/>
      <c r="BB15"/>
      <c r="BC15"/>
      <c r="BD15"/>
    </row>
    <row r="16" spans="2:56" ht="15" hidden="1" customHeight="1">
      <c r="B16" s="56" t="s">
        <v>70</v>
      </c>
      <c r="C16" s="57"/>
      <c r="D16" s="57">
        <v>0</v>
      </c>
      <c r="E16" s="57"/>
      <c r="F16" s="57"/>
      <c r="G16" s="57"/>
      <c r="H16" s="57"/>
      <c r="I16" s="57"/>
      <c r="J16" s="57"/>
      <c r="K16" s="57"/>
      <c r="L16" s="57"/>
      <c r="M16" s="1"/>
      <c r="N16" s="3"/>
      <c r="P16" s="2" t="str">
        <f>'1'!E11</f>
        <v>NUEVO</v>
      </c>
      <c r="Q16" s="3"/>
      <c r="R16" s="3"/>
      <c r="S16" s="3"/>
      <c r="T16" s="3"/>
      <c r="U16" s="50" t="s">
        <v>54</v>
      </c>
      <c r="V16" s="50" t="s">
        <v>54</v>
      </c>
      <c r="W16" s="87">
        <v>0.6</v>
      </c>
      <c r="X16" s="87">
        <v>0.4</v>
      </c>
      <c r="Y16" s="3"/>
      <c r="Z16" s="3"/>
      <c r="AA16" s="3"/>
      <c r="AB16" s="3"/>
      <c r="AC16" s="3"/>
      <c r="AD16" s="3"/>
      <c r="AE16" s="3"/>
      <c r="AF16" s="3"/>
      <c r="AW16"/>
      <c r="AX16"/>
      <c r="AY16"/>
      <c r="AZ16"/>
      <c r="BA16"/>
      <c r="BB16"/>
      <c r="BC16"/>
      <c r="BD16"/>
    </row>
    <row r="17" spans="2:57">
      <c r="B17" s="28" t="s">
        <v>1</v>
      </c>
      <c r="C17" s="7">
        <v>50</v>
      </c>
      <c r="D17" s="7">
        <v>50</v>
      </c>
      <c r="E17" s="7">
        <v>50</v>
      </c>
      <c r="F17" s="7">
        <v>2</v>
      </c>
      <c r="G17" s="7">
        <v>2</v>
      </c>
      <c r="H17" s="7">
        <v>50</v>
      </c>
      <c r="I17" s="7">
        <v>50</v>
      </c>
      <c r="J17" s="7">
        <v>50</v>
      </c>
      <c r="K17" s="7">
        <v>50</v>
      </c>
      <c r="L17" s="7">
        <v>50</v>
      </c>
      <c r="M17" s="101">
        <f>SUM(C17:L17)</f>
        <v>404</v>
      </c>
      <c r="N17" s="1"/>
      <c r="P17" s="1"/>
      <c r="Q17" s="1"/>
      <c r="R17" s="1"/>
      <c r="S17" s="1"/>
      <c r="T17" s="7" t="str">
        <f>'1'!R10</f>
        <v>NUEVO</v>
      </c>
      <c r="U17" s="48">
        <f>'1'!S10</f>
        <v>753.75000000000011</v>
      </c>
      <c r="V17" s="85">
        <f>'1'!T10</f>
        <v>375</v>
      </c>
      <c r="W17" s="3">
        <f>$W$16*U17</f>
        <v>452.25000000000006</v>
      </c>
      <c r="AW17"/>
      <c r="AX17"/>
      <c r="AY17"/>
      <c r="AZ17"/>
      <c r="BA17"/>
      <c r="BB17"/>
      <c r="BC17"/>
      <c r="BD17"/>
    </row>
    <row r="18" spans="2:57">
      <c r="B18" s="17" t="s">
        <v>2</v>
      </c>
      <c r="C18" s="18">
        <f>C15*C17</f>
        <v>195</v>
      </c>
      <c r="D18" s="18">
        <f>D15*D17</f>
        <v>775</v>
      </c>
      <c r="E18" s="18">
        <f t="shared" ref="E18:I18" si="0">E15*E17</f>
        <v>1050</v>
      </c>
      <c r="F18" s="18">
        <f t="shared" si="0"/>
        <v>300</v>
      </c>
      <c r="G18" s="18">
        <f t="shared" si="0"/>
        <v>312</v>
      </c>
      <c r="H18" s="18">
        <f t="shared" si="0"/>
        <v>239</v>
      </c>
      <c r="I18" s="18">
        <f t="shared" si="0"/>
        <v>324</v>
      </c>
      <c r="J18" s="18">
        <f t="shared" ref="J18:K18" si="1">J15*J17</f>
        <v>496.5</v>
      </c>
      <c r="K18" s="18">
        <f t="shared" si="1"/>
        <v>148.5</v>
      </c>
      <c r="L18" s="18">
        <f t="shared" ref="L18" si="2">L15*L17</f>
        <v>185.5</v>
      </c>
      <c r="M18" s="18">
        <f>SUM(C18:L18)</f>
        <v>4025.5</v>
      </c>
      <c r="N18" s="1"/>
      <c r="S18" s="1"/>
      <c r="T18" s="7" t="str">
        <f>'1'!R11</f>
        <v>ANTIGUO</v>
      </c>
      <c r="U18" s="48">
        <f>'1'!S11</f>
        <v>703.50000000000011</v>
      </c>
      <c r="V18" s="85">
        <f>'1'!T11</f>
        <v>350</v>
      </c>
      <c r="W18" s="3">
        <f t="shared" ref="W18" si="3">$W$16*U18</f>
        <v>422.10000000000008</v>
      </c>
      <c r="AW18"/>
      <c r="AX18"/>
      <c r="AY18"/>
      <c r="AZ18"/>
      <c r="BA18"/>
      <c r="BB18"/>
      <c r="BC18"/>
      <c r="BD18"/>
    </row>
    <row r="19" spans="2:57" ht="16.5" hidden="1" customHeight="1">
      <c r="B19" s="58" t="s">
        <v>2</v>
      </c>
      <c r="C19" s="59">
        <f>(MAX(C15:C16))*C17</f>
        <v>195</v>
      </c>
      <c r="D19" s="59">
        <f>(MAX(D15:D16))*D17</f>
        <v>775</v>
      </c>
      <c r="E19" s="59">
        <f t="shared" ref="E19:I19" si="4">(MAX(E15:E16))*E17</f>
        <v>1050</v>
      </c>
      <c r="F19" s="59">
        <f t="shared" si="4"/>
        <v>300</v>
      </c>
      <c r="G19" s="59">
        <f t="shared" si="4"/>
        <v>312</v>
      </c>
      <c r="H19" s="59">
        <f t="shared" si="4"/>
        <v>239</v>
      </c>
      <c r="I19" s="59">
        <f t="shared" si="4"/>
        <v>324</v>
      </c>
      <c r="J19" s="59">
        <f t="shared" ref="J19:K19" si="5">(MAX(J15:J16))*J17</f>
        <v>496.5</v>
      </c>
      <c r="K19" s="59">
        <f t="shared" si="5"/>
        <v>148.5</v>
      </c>
      <c r="L19" s="59">
        <f t="shared" ref="L19" si="6">(MAX(L15:L16))*L17</f>
        <v>185.5</v>
      </c>
      <c r="M19" s="59">
        <f>SUM(C19:L19)</f>
        <v>4025.5</v>
      </c>
      <c r="N19" s="1"/>
      <c r="S19" s="1"/>
      <c r="T19" s="7" t="str">
        <f>'1'!R12</f>
        <v>MANUAL</v>
      </c>
      <c r="U19" s="48">
        <f>'1'!S12</f>
        <v>0</v>
      </c>
      <c r="V19" s="85">
        <f>'1'!T12</f>
        <v>0</v>
      </c>
      <c r="W19" s="3">
        <f>$W$16*U19</f>
        <v>0</v>
      </c>
      <c r="AW19"/>
      <c r="AX19"/>
      <c r="AY19"/>
      <c r="AZ19"/>
      <c r="BA19"/>
      <c r="BB19"/>
      <c r="BC19"/>
      <c r="BD19"/>
    </row>
    <row r="20" spans="2:57" ht="15" customHeight="1">
      <c r="B20" s="5" t="s">
        <v>3</v>
      </c>
      <c r="C20" s="8">
        <f>C18/$M$18</f>
        <v>4.8441187430132905E-2</v>
      </c>
      <c r="D20" s="8">
        <f>D18/$M$18</f>
        <v>0.19252266799155385</v>
      </c>
      <c r="E20" s="8">
        <f>E18/$M$18</f>
        <v>0.260837163085331</v>
      </c>
      <c r="F20" s="8">
        <f>F18/$M$18</f>
        <v>7.4524903738666007E-2</v>
      </c>
      <c r="G20" s="8">
        <f>G18/$M$18</f>
        <v>7.7505899888212645E-2</v>
      </c>
      <c r="H20" s="8">
        <f>H18/$M$18</f>
        <v>5.9371506645137247E-2</v>
      </c>
      <c r="I20" s="8">
        <f>I18/$M$18</f>
        <v>8.0486896037759284E-2</v>
      </c>
      <c r="J20" s="8">
        <f>J18/$M$18</f>
        <v>0.12333871568749223</v>
      </c>
      <c r="K20" s="8">
        <f>K18/$M$18</f>
        <v>3.688982735063967E-2</v>
      </c>
      <c r="L20" s="8">
        <f>L18/$M$18</f>
        <v>4.6081232145075146E-2</v>
      </c>
      <c r="M20" s="7" t="s">
        <v>8</v>
      </c>
      <c r="N20" s="30"/>
      <c r="S20" s="1"/>
      <c r="T20" s="7" t="str">
        <f>'1'!R13</f>
        <v>SOCIO</v>
      </c>
      <c r="U20" s="48">
        <f>'1'!S13</f>
        <v>502.50000000000006</v>
      </c>
      <c r="V20" s="85">
        <f>'1'!T13</f>
        <v>250</v>
      </c>
      <c r="W20" s="3">
        <f>$W$16*U20</f>
        <v>301.5</v>
      </c>
      <c r="AW20"/>
      <c r="AX20"/>
      <c r="AY20"/>
      <c r="AZ20"/>
      <c r="BA20"/>
      <c r="BB20"/>
      <c r="BC20"/>
      <c r="BD20"/>
    </row>
    <row r="21" spans="2:57">
      <c r="B21" s="28" t="s">
        <v>4</v>
      </c>
      <c r="C21" s="6">
        <f>$M$21*C20</f>
        <v>21.907527015277608</v>
      </c>
      <c r="D21" s="6">
        <f>$M$21*D20</f>
        <v>87.06837659918024</v>
      </c>
      <c r="E21" s="6">
        <f>$M$21*E20</f>
        <v>117.96360700534096</v>
      </c>
      <c r="F21" s="6">
        <f>$M$21*F20</f>
        <v>33.703887715811703</v>
      </c>
      <c r="G21" s="6">
        <f>$M$21*G20</f>
        <v>35.052043224444176</v>
      </c>
      <c r="H21" s="6">
        <f>$M$21*H20</f>
        <v>26.850763880263322</v>
      </c>
      <c r="I21" s="6">
        <f>$M$21*I20</f>
        <v>36.400198733076643</v>
      </c>
      <c r="J21" s="6">
        <f>$M$21*J20</f>
        <v>55.779934169668365</v>
      </c>
      <c r="K21" s="6">
        <f>$M$21*K20</f>
        <v>16.683424419326794</v>
      </c>
      <c r="L21" s="6">
        <f>$M$21*L20</f>
        <v>20.840237237610239</v>
      </c>
      <c r="M21" s="29">
        <f>IF(U19=0,IF('1'!E11="NUEVO",'2'!U17*60%,IF('1'!E11="ANTIGUO",'2'!U18*60%,IF('1'!E11="SOCIO",60%*(250*'1'!I11),IF('1'!E11="PILOTO",60%*(250*'1'!I11),IF('2'!U19&gt;0,60%*(250*'1'!I11),IF('1'!E11="MANUAL",60%*(IF('1'!T12&gt;250,('1'!T12*'1'!I11),IF('1'!T12&lt;=250,(250*'1'!I11)))))))))),IF(V19&lt;=250,(250*'1'!I11)*60%,U19*60%))</f>
        <v>452.25000000000006</v>
      </c>
      <c r="N21" s="87"/>
      <c r="O21" s="173"/>
      <c r="P21" s="49"/>
      <c r="Q21" s="1"/>
      <c r="R21" s="1"/>
      <c r="S21" s="1"/>
      <c r="T21" s="7" t="str">
        <f>'1'!R14</f>
        <v>PILOTO</v>
      </c>
      <c r="U21" s="48">
        <f>'1'!S14</f>
        <v>502.50000000000006</v>
      </c>
      <c r="V21" s="85">
        <f>'1'!T14</f>
        <v>250</v>
      </c>
      <c r="W21" s="3">
        <f>$W$16*U21</f>
        <v>301.5</v>
      </c>
      <c r="AW21"/>
      <c r="AX21"/>
      <c r="AY21"/>
      <c r="AZ21"/>
      <c r="BA21"/>
      <c r="BB21"/>
      <c r="BC21"/>
      <c r="BD21"/>
    </row>
    <row r="22" spans="2:57">
      <c r="B22" s="17" t="s">
        <v>5</v>
      </c>
      <c r="C22" s="18">
        <f>C18+C21</f>
        <v>216.90752701527759</v>
      </c>
      <c r="D22" s="18">
        <f t="shared" ref="D22:I22" si="7">D18+D21</f>
        <v>862.06837659918028</v>
      </c>
      <c r="E22" s="18">
        <f t="shared" si="7"/>
        <v>1167.9636070053409</v>
      </c>
      <c r="F22" s="18">
        <f t="shared" si="7"/>
        <v>333.70388771581167</v>
      </c>
      <c r="G22" s="18">
        <f t="shared" si="7"/>
        <v>347.05204322444416</v>
      </c>
      <c r="H22" s="18">
        <f t="shared" si="7"/>
        <v>265.85076388026334</v>
      </c>
      <c r="I22" s="18">
        <f t="shared" si="7"/>
        <v>360.40019873307665</v>
      </c>
      <c r="J22" s="18">
        <f t="shared" ref="J22:K22" si="8">J18+J21</f>
        <v>552.27993416966842</v>
      </c>
      <c r="K22" s="18">
        <f t="shared" si="8"/>
        <v>165.1834244193268</v>
      </c>
      <c r="L22" s="18">
        <f t="shared" ref="L22" si="9">L18+L21</f>
        <v>206.34023723761024</v>
      </c>
      <c r="M22" s="18">
        <f>SUM(C22:L22)</f>
        <v>4477.7500000000009</v>
      </c>
      <c r="N22" s="1"/>
      <c r="O22" s="173"/>
      <c r="P22" s="49"/>
      <c r="Q22" s="1"/>
      <c r="R22" s="84" t="s">
        <v>87</v>
      </c>
      <c r="S22" s="84"/>
      <c r="T22" s="50">
        <f>250*60%</f>
        <v>150</v>
      </c>
      <c r="U22" s="50">
        <f>250*40%</f>
        <v>100</v>
      </c>
      <c r="V22" s="85"/>
      <c r="W22" s="3"/>
      <c r="AU22"/>
      <c r="AV22"/>
      <c r="AW22"/>
      <c r="AX22"/>
      <c r="AY22"/>
      <c r="AZ22"/>
      <c r="BA22"/>
      <c r="BB22"/>
      <c r="BC22"/>
      <c r="BD22"/>
    </row>
    <row r="23" spans="2:57" ht="14.25" hidden="1" customHeight="1">
      <c r="B23" s="58" t="s">
        <v>71</v>
      </c>
      <c r="C23" s="59">
        <f>C19+C21</f>
        <v>216.90752701527759</v>
      </c>
      <c r="D23" s="59">
        <f t="shared" ref="D23:I23" si="10">D19+D21</f>
        <v>862.06837659918028</v>
      </c>
      <c r="E23" s="59">
        <f t="shared" si="10"/>
        <v>1167.9636070053409</v>
      </c>
      <c r="F23" s="59">
        <f t="shared" si="10"/>
        <v>333.70388771581167</v>
      </c>
      <c r="G23" s="59">
        <f t="shared" si="10"/>
        <v>347.05204322444416</v>
      </c>
      <c r="H23" s="59">
        <f t="shared" si="10"/>
        <v>265.85076388026334</v>
      </c>
      <c r="I23" s="59">
        <f t="shared" si="10"/>
        <v>360.40019873307665</v>
      </c>
      <c r="J23" s="59">
        <f t="shared" ref="J23:K23" si="11">J19+J21</f>
        <v>552.27993416966842</v>
      </c>
      <c r="K23" s="59">
        <f t="shared" si="11"/>
        <v>165.1834244193268</v>
      </c>
      <c r="L23" s="59">
        <f t="shared" ref="L23" si="12">L19+L21</f>
        <v>206.34023723761024</v>
      </c>
      <c r="M23" s="59">
        <f>SUM(C23:L23)</f>
        <v>4477.7500000000009</v>
      </c>
      <c r="N23" s="1"/>
      <c r="P23" s="49"/>
      <c r="Q23" s="1"/>
      <c r="R23" s="30"/>
      <c r="S23" s="1"/>
      <c r="AW23"/>
      <c r="AX23"/>
      <c r="AY23"/>
      <c r="AZ23"/>
      <c r="BA23"/>
      <c r="BB23"/>
      <c r="BC23"/>
      <c r="BD23"/>
    </row>
    <row r="24" spans="2:57" ht="14.25" customHeight="1">
      <c r="B24" s="28" t="s">
        <v>6</v>
      </c>
      <c r="C24" s="6">
        <f>$M$24*C20</f>
        <v>2.4220593715066454</v>
      </c>
      <c r="D24" s="6">
        <f>$M$24*D20</f>
        <v>9.626133399577693</v>
      </c>
      <c r="E24" s="6">
        <f>$M$24*E20</f>
        <v>13.041858154266549</v>
      </c>
      <c r="F24" s="6">
        <f>$M$24*F20</f>
        <v>3.7262451869333004</v>
      </c>
      <c r="G24" s="6">
        <f>$M$24*G20</f>
        <v>3.8752949944106323</v>
      </c>
      <c r="H24" s="6">
        <f>$M$24*H20</f>
        <v>2.9685753322568624</v>
      </c>
      <c r="I24" s="6">
        <f>$M$24*I20</f>
        <v>4.0243448018879642</v>
      </c>
      <c r="J24" s="6">
        <f>$M$24*J20</f>
        <v>6.166935784374612</v>
      </c>
      <c r="K24" s="6">
        <f>$M$24*K20</f>
        <v>1.8444913675319836</v>
      </c>
      <c r="L24" s="6">
        <f>$M$24*L20</f>
        <v>2.3040616072537574</v>
      </c>
      <c r="M24" s="29">
        <f>IF(M18&lt;5000,50,100)</f>
        <v>50</v>
      </c>
      <c r="N24" s="1"/>
      <c r="P24" s="49"/>
      <c r="Q24" s="1"/>
      <c r="R24" s="1"/>
      <c r="S24" s="1"/>
      <c r="T24" s="1"/>
      <c r="U24" s="1"/>
      <c r="AW24"/>
      <c r="AX24"/>
      <c r="AY24"/>
      <c r="AZ24"/>
      <c r="BA24"/>
      <c r="BB24"/>
      <c r="BC24"/>
      <c r="BD24"/>
    </row>
    <row r="25" spans="2:57">
      <c r="B25" s="17" t="s">
        <v>7</v>
      </c>
      <c r="C25" s="18">
        <f t="shared" ref="C25:I25" si="13">C22+C24</f>
        <v>219.32958638678423</v>
      </c>
      <c r="D25" s="18">
        <f t="shared" si="13"/>
        <v>871.69450999875801</v>
      </c>
      <c r="E25" s="18">
        <f t="shared" si="13"/>
        <v>1181.0054651596074</v>
      </c>
      <c r="F25" s="18">
        <f t="shared" si="13"/>
        <v>337.43013290274496</v>
      </c>
      <c r="G25" s="18">
        <f t="shared" si="13"/>
        <v>350.9273382188548</v>
      </c>
      <c r="H25" s="18">
        <f t="shared" si="13"/>
        <v>268.81933921252022</v>
      </c>
      <c r="I25" s="18">
        <f t="shared" si="13"/>
        <v>364.42454353496464</v>
      </c>
      <c r="J25" s="18">
        <f t="shared" ref="J25:K25" si="14">J22+J24</f>
        <v>558.446869954043</v>
      </c>
      <c r="K25" s="18">
        <f t="shared" si="14"/>
        <v>167.02791578685878</v>
      </c>
      <c r="L25" s="18">
        <f t="shared" ref="L25" si="15">L22+L24</f>
        <v>208.64429884486401</v>
      </c>
      <c r="M25" s="18">
        <f>SUM(C25:L25)</f>
        <v>4527.7500000000009</v>
      </c>
      <c r="N25" s="1"/>
      <c r="P25" s="49"/>
      <c r="Q25" s="1"/>
      <c r="R25" s="1"/>
      <c r="S25" s="1"/>
      <c r="T25" s="1"/>
      <c r="U25" s="1"/>
      <c r="AW25"/>
      <c r="AX25"/>
      <c r="AY25"/>
      <c r="AZ25"/>
      <c r="BA25"/>
      <c r="BB25"/>
      <c r="BC25"/>
      <c r="BD25"/>
    </row>
    <row r="26" spans="2:57" ht="18.75" hidden="1" customHeight="1">
      <c r="B26" s="58" t="s">
        <v>72</v>
      </c>
      <c r="C26" s="59">
        <f>C23+C24</f>
        <v>219.32958638678423</v>
      </c>
      <c r="D26" s="59">
        <f>D23+D24</f>
        <v>871.69450999875801</v>
      </c>
      <c r="E26" s="59">
        <f t="shared" ref="E26:I26" si="16">E23+E24</f>
        <v>1181.0054651596074</v>
      </c>
      <c r="F26" s="59">
        <f t="shared" si="16"/>
        <v>337.43013290274496</v>
      </c>
      <c r="G26" s="59">
        <f t="shared" si="16"/>
        <v>350.9273382188548</v>
      </c>
      <c r="H26" s="59">
        <f t="shared" si="16"/>
        <v>268.81933921252022</v>
      </c>
      <c r="I26" s="59">
        <f t="shared" si="16"/>
        <v>364.42454353496464</v>
      </c>
      <c r="J26" s="59">
        <f t="shared" ref="J26:K26" si="17">J23+J24</f>
        <v>558.446869954043</v>
      </c>
      <c r="K26" s="59">
        <f t="shared" si="17"/>
        <v>167.02791578685878</v>
      </c>
      <c r="L26" s="59">
        <f t="shared" ref="L26" si="18">L23+L24</f>
        <v>208.64429884486401</v>
      </c>
      <c r="M26" s="59">
        <f>SUM(C26:L26)</f>
        <v>4527.7500000000009</v>
      </c>
      <c r="P26" s="49"/>
    </row>
    <row r="27" spans="2:57">
      <c r="P27" s="49"/>
    </row>
    <row r="28" spans="2:57">
      <c r="B28" s="175" t="s">
        <v>11</v>
      </c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</row>
    <row r="30" spans="2:57">
      <c r="C30" s="52"/>
      <c r="D30" s="52"/>
      <c r="E30" s="52"/>
      <c r="F30" s="52"/>
      <c r="G30" s="52"/>
      <c r="H30" s="52"/>
      <c r="I30" s="52"/>
      <c r="J30" s="52"/>
      <c r="K30" s="52"/>
      <c r="L30" s="52"/>
      <c r="V30" s="2"/>
      <c r="BE30" s="1"/>
    </row>
    <row r="31" spans="2:57">
      <c r="B31" s="53" t="s">
        <v>40</v>
      </c>
      <c r="C31" s="54">
        <f>C17*C30</f>
        <v>0</v>
      </c>
      <c r="D31" s="54">
        <f t="shared" ref="D31:I31" si="19">D17*D30</f>
        <v>0</v>
      </c>
      <c r="E31" s="54">
        <f t="shared" si="19"/>
        <v>0</v>
      </c>
      <c r="F31" s="54">
        <f t="shared" si="19"/>
        <v>0</v>
      </c>
      <c r="G31" s="54">
        <f t="shared" si="19"/>
        <v>0</v>
      </c>
      <c r="H31" s="54">
        <f t="shared" si="19"/>
        <v>0</v>
      </c>
      <c r="I31" s="54">
        <f t="shared" si="19"/>
        <v>0</v>
      </c>
      <c r="J31" s="54">
        <f t="shared" ref="J31:K31" si="20">J17*J30</f>
        <v>0</v>
      </c>
      <c r="K31" s="54">
        <f t="shared" si="20"/>
        <v>0</v>
      </c>
      <c r="L31" s="54">
        <f t="shared" ref="L31" si="21">L17*L30</f>
        <v>0</v>
      </c>
      <c r="M31" s="54">
        <f>SUM(C31:L31)</f>
        <v>0</v>
      </c>
      <c r="V31" s="2"/>
      <c r="BE31" s="1"/>
    </row>
    <row r="33" spans="1:56">
      <c r="C33" s="11">
        <v>0</v>
      </c>
      <c r="D33" s="11">
        <v>0</v>
      </c>
      <c r="E33" s="11">
        <v>0</v>
      </c>
      <c r="F33" s="11">
        <v>0</v>
      </c>
      <c r="G33" s="11">
        <v>0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9" t="s">
        <v>8</v>
      </c>
      <c r="N33" s="1"/>
      <c r="O33" s="1"/>
      <c r="P33" s="1"/>
      <c r="Q33" s="174"/>
      <c r="R33" s="174"/>
      <c r="S33" s="1"/>
      <c r="T33" s="1"/>
      <c r="U33" s="1"/>
      <c r="AW33"/>
      <c r="AX33"/>
      <c r="AY33"/>
      <c r="AZ33"/>
      <c r="BA33"/>
      <c r="BB33"/>
      <c r="BC33"/>
      <c r="BD33"/>
    </row>
    <row r="34" spans="1:56">
      <c r="B34" s="9" t="s">
        <v>9</v>
      </c>
      <c r="C34" s="6">
        <f>MAX(C25:C26)*C33</f>
        <v>0</v>
      </c>
      <c r="D34" s="6">
        <f t="shared" ref="D34:I34" si="22">MAX(D25:D26)*D33</f>
        <v>0</v>
      </c>
      <c r="E34" s="6">
        <f t="shared" si="22"/>
        <v>0</v>
      </c>
      <c r="F34" s="6">
        <f t="shared" si="22"/>
        <v>0</v>
      </c>
      <c r="G34" s="6">
        <f t="shared" si="22"/>
        <v>0</v>
      </c>
      <c r="H34" s="6">
        <f t="shared" si="22"/>
        <v>0</v>
      </c>
      <c r="I34" s="6">
        <f t="shared" si="22"/>
        <v>0</v>
      </c>
      <c r="J34" s="6">
        <f t="shared" ref="J34:K34" si="23">MAX(J25:J26)*J33</f>
        <v>0</v>
      </c>
      <c r="K34" s="6">
        <f t="shared" si="23"/>
        <v>0</v>
      </c>
      <c r="L34" s="6">
        <f t="shared" ref="L34" si="24">MAX(L25:L26)*L33</f>
        <v>0</v>
      </c>
      <c r="M34" s="10">
        <f>SUM(C34:L34)</f>
        <v>0</v>
      </c>
      <c r="N34" s="1"/>
      <c r="O34" s="1"/>
      <c r="P34" s="1"/>
      <c r="Q34" s="174"/>
      <c r="R34" s="174"/>
      <c r="S34" s="1"/>
      <c r="T34" s="1"/>
      <c r="U34" s="1"/>
      <c r="AW34"/>
      <c r="AX34"/>
      <c r="AY34"/>
      <c r="AZ34"/>
      <c r="BA34"/>
      <c r="BB34"/>
      <c r="BC34"/>
      <c r="BD34"/>
    </row>
    <row r="35" spans="1:56" s="14" customFormat="1">
      <c r="A35" s="12"/>
      <c r="B35" s="16" t="s">
        <v>13</v>
      </c>
      <c r="C35" s="13">
        <f>((MAX(C25:C26))+C34)*16%</f>
        <v>35.092733821885474</v>
      </c>
      <c r="D35" s="13">
        <f t="shared" ref="D35:I35" si="25">((MAX(D25:D26))+D34)*16%</f>
        <v>139.47112159980128</v>
      </c>
      <c r="E35" s="13">
        <f t="shared" si="25"/>
        <v>188.96087442553718</v>
      </c>
      <c r="F35" s="13">
        <f t="shared" si="25"/>
        <v>53.988821264439196</v>
      </c>
      <c r="G35" s="13">
        <f t="shared" si="25"/>
        <v>56.148374115016772</v>
      </c>
      <c r="H35" s="13">
        <f t="shared" si="25"/>
        <v>43.011094274003234</v>
      </c>
      <c r="I35" s="13">
        <f t="shared" si="25"/>
        <v>58.307926965594341</v>
      </c>
      <c r="J35" s="13">
        <f t="shared" ref="J35:K35" si="26">((MAX(J25:J26))+J34)*16%</f>
        <v>89.351499192646884</v>
      </c>
      <c r="K35" s="13">
        <f t="shared" si="26"/>
        <v>26.724466525897405</v>
      </c>
      <c r="L35" s="13">
        <f t="shared" ref="L35" si="27">((MAX(L25:L26))+L34)*16%</f>
        <v>33.383087815178243</v>
      </c>
      <c r="M35" s="10">
        <f>SUM(C35:L35)</f>
        <v>724.43999999999994</v>
      </c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</row>
    <row r="36" spans="1:56" s="14" customFormat="1">
      <c r="A36" s="12"/>
      <c r="B36" s="16" t="s">
        <v>14</v>
      </c>
      <c r="C36" s="13">
        <f>((MAX(C25:C26))+C34)*2%</f>
        <v>4.3865917277356843</v>
      </c>
      <c r="D36" s="13">
        <f t="shared" ref="D36:I36" si="28">((MAX(D25:D26))+D34)*2%</f>
        <v>17.43389019997516</v>
      </c>
      <c r="E36" s="15">
        <f t="shared" si="28"/>
        <v>23.620109303192148</v>
      </c>
      <c r="F36" s="15">
        <f t="shared" si="28"/>
        <v>6.7486026580548995</v>
      </c>
      <c r="G36" s="15">
        <f t="shared" si="28"/>
        <v>7.0185467643770965</v>
      </c>
      <c r="H36" s="15">
        <f t="shared" si="28"/>
        <v>5.3763867842504043</v>
      </c>
      <c r="I36" s="15">
        <f t="shared" si="28"/>
        <v>7.2884908706992926</v>
      </c>
      <c r="J36" s="15">
        <f t="shared" ref="J36:K36" si="29">((MAX(J25:J26))+J34)*2%</f>
        <v>11.16893739908086</v>
      </c>
      <c r="K36" s="15">
        <f t="shared" si="29"/>
        <v>3.3405583157371757</v>
      </c>
      <c r="L36" s="15">
        <f t="shared" ref="L36" si="30">((MAX(L25:L26))+L34)*2%</f>
        <v>4.1728859768972804</v>
      </c>
      <c r="M36" s="10">
        <f>SUM(C36:L36)</f>
        <v>90.554999999999993</v>
      </c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</row>
    <row r="37" spans="1:56" s="14" customFormat="1">
      <c r="A37" s="12"/>
      <c r="B37" s="16" t="s">
        <v>10</v>
      </c>
      <c r="C37" s="13">
        <f>((MAX(C25:C26)+C34+C35+C36)*3.5%)</f>
        <v>9.0583119177741889</v>
      </c>
      <c r="D37" s="13">
        <f t="shared" ref="D37:L37" si="31">((MAX(D25:D26)+D34+D35+D36)*3.5%)</f>
        <v>36.000983262948708</v>
      </c>
      <c r="E37" s="13">
        <f t="shared" si="31"/>
        <v>48.775525711091788</v>
      </c>
      <c r="F37" s="13">
        <f t="shared" si="31"/>
        <v>13.935864488883368</v>
      </c>
      <c r="G37" s="13">
        <f t="shared" si="31"/>
        <v>14.493299068438706</v>
      </c>
      <c r="H37" s="13">
        <f t="shared" si="31"/>
        <v>11.102238709477088</v>
      </c>
      <c r="I37" s="13">
        <f t="shared" si="31"/>
        <v>15.050733647994042</v>
      </c>
      <c r="J37" s="13">
        <f t="shared" si="31"/>
        <v>23.063855729101977</v>
      </c>
      <c r="K37" s="13">
        <f t="shared" si="31"/>
        <v>6.898252921997269</v>
      </c>
      <c r="L37" s="13">
        <f t="shared" si="31"/>
        <v>8.6170095422928839</v>
      </c>
      <c r="M37" s="10">
        <f>SUM(C37:L37)</f>
        <v>186.99607500000005</v>
      </c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</row>
    <row r="38" spans="1:56">
      <c r="B38" s="19" t="s">
        <v>8</v>
      </c>
      <c r="C38" s="20">
        <f t="shared" ref="C38:I38" si="32">SUM(C34:C37)</f>
        <v>48.537637467395349</v>
      </c>
      <c r="D38" s="20">
        <f t="shared" si="32"/>
        <v>192.90599506272514</v>
      </c>
      <c r="E38" s="20">
        <f t="shared" si="32"/>
        <v>261.35650943982114</v>
      </c>
      <c r="F38" s="20">
        <f t="shared" si="32"/>
        <v>74.673288411377456</v>
      </c>
      <c r="G38" s="20">
        <f t="shared" si="32"/>
        <v>77.660219947832573</v>
      </c>
      <c r="H38" s="20">
        <f t="shared" si="32"/>
        <v>59.489719767730733</v>
      </c>
      <c r="I38" s="20">
        <f t="shared" si="32"/>
        <v>80.647151484287676</v>
      </c>
      <c r="J38" s="20">
        <f t="shared" ref="J38:K38" si="33">SUM(J34:J37)</f>
        <v>123.58429232082972</v>
      </c>
      <c r="K38" s="20">
        <f t="shared" si="33"/>
        <v>36.963277763631851</v>
      </c>
      <c r="L38" s="20">
        <f t="shared" ref="L38" si="34">SUM(L34:L37)</f>
        <v>46.172983334368404</v>
      </c>
      <c r="M38" s="18">
        <f>SUM(C38:L38)</f>
        <v>1001.991075</v>
      </c>
      <c r="N38" s="1"/>
      <c r="O38" s="1"/>
      <c r="P38" s="1"/>
      <c r="Q38" s="1"/>
      <c r="R38" s="1"/>
      <c r="S38" s="1"/>
      <c r="T38" s="1"/>
      <c r="U38" s="1"/>
      <c r="AW38"/>
      <c r="AX38"/>
      <c r="AY38"/>
      <c r="AZ38"/>
      <c r="BA38"/>
      <c r="BB38"/>
      <c r="BC38"/>
      <c r="BD38"/>
    </row>
    <row r="39" spans="1:56">
      <c r="S39" s="1"/>
      <c r="T39" s="3"/>
      <c r="U39" s="1"/>
      <c r="BB39"/>
      <c r="BC39"/>
      <c r="BD39"/>
    </row>
    <row r="40" spans="1:56">
      <c r="X40" s="24" t="s">
        <v>21</v>
      </c>
      <c r="Y40" s="24">
        <v>3.7</v>
      </c>
    </row>
    <row r="42" spans="1:56">
      <c r="B42" s="172" t="s">
        <v>16</v>
      </c>
      <c r="C42" s="172"/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</row>
    <row r="44" spans="1:56">
      <c r="C44" s="21">
        <f>+C20</f>
        <v>4.8441187430132905E-2</v>
      </c>
      <c r="D44" s="21">
        <f t="shared" ref="D44:I44" si="35">+D20</f>
        <v>0.19252266799155385</v>
      </c>
      <c r="E44" s="21">
        <f t="shared" si="35"/>
        <v>0.260837163085331</v>
      </c>
      <c r="F44" s="21">
        <f t="shared" si="35"/>
        <v>7.4524903738666007E-2</v>
      </c>
      <c r="G44" s="21">
        <f t="shared" si="35"/>
        <v>7.7505899888212645E-2</v>
      </c>
      <c r="H44" s="21">
        <f t="shared" si="35"/>
        <v>5.9371506645137247E-2</v>
      </c>
      <c r="I44" s="21">
        <f t="shared" si="35"/>
        <v>8.0486896037759284E-2</v>
      </c>
      <c r="J44" s="21">
        <f t="shared" ref="J44:K44" si="36">+J20</f>
        <v>0.12333871568749223</v>
      </c>
      <c r="K44" s="21">
        <f t="shared" si="36"/>
        <v>3.688982735063967E-2</v>
      </c>
      <c r="L44" s="21">
        <f t="shared" ref="L44" si="37">+L20</f>
        <v>4.6081232145075146E-2</v>
      </c>
      <c r="M44" s="7" t="s">
        <v>8</v>
      </c>
      <c r="N44" s="1"/>
      <c r="O44" s="1"/>
      <c r="P44" s="1"/>
      <c r="Q44" s="1"/>
      <c r="R44" s="1"/>
      <c r="S44" s="1"/>
      <c r="T44" s="1"/>
      <c r="U44" s="1"/>
      <c r="AW44"/>
      <c r="AX44"/>
      <c r="AY44"/>
      <c r="AZ44"/>
      <c r="BA44"/>
      <c r="BB44"/>
      <c r="BC44"/>
      <c r="BD44"/>
    </row>
    <row r="45" spans="1:56">
      <c r="B45" s="28" t="s">
        <v>15</v>
      </c>
      <c r="C45" s="23">
        <f>$M$45*C44</f>
        <v>14.605018010185074</v>
      </c>
      <c r="D45" s="23">
        <f>$M$45*D44</f>
        <v>58.045584399453496</v>
      </c>
      <c r="E45" s="23">
        <f>$M$45*E44</f>
        <v>78.642404670227307</v>
      </c>
      <c r="F45" s="23">
        <f>$M$45*F44</f>
        <v>22.469258477207806</v>
      </c>
      <c r="G45" s="23">
        <f>$M$45*G44</f>
        <v>23.368028816296118</v>
      </c>
      <c r="H45" s="23">
        <f>$M$45*H44</f>
        <v>17.900509253508883</v>
      </c>
      <c r="I45" s="23">
        <f>$M$45*I44</f>
        <v>24.26679915538443</v>
      </c>
      <c r="J45" s="23">
        <f>$M$45*J44</f>
        <v>37.186622779778915</v>
      </c>
      <c r="K45" s="23">
        <f>$M$45*K44</f>
        <v>11.122282946217863</v>
      </c>
      <c r="L45" s="23">
        <f>$M$45*L44</f>
        <v>13.893491491740159</v>
      </c>
      <c r="M45" s="29">
        <f>IF(U19=0,IF('1'!E11="NUEVO",'2'!U17*40%,IF('1'!E11="ANTIGUO",'2'!U18*40%,IF('1'!E11="SOCIO",40%*(250*'1'!I11),IF('1'!E11="PILOTO",40%*(250*'1'!I11),IF('2'!U19&gt;0,40%*(250*'1'!I11),IF('1'!E11="MANUAL",40%*(IF('1'!T12&gt;250,('1'!T12*'1'!I11),IF('1'!T12&lt;=250,(250*'1'!I11)))))))))),IF(V19&lt;=250,(250*'1'!I11)*40%,U19*40%))</f>
        <v>301.50000000000006</v>
      </c>
      <c r="N45" s="87"/>
      <c r="O45" s="1"/>
      <c r="P45" s="1"/>
      <c r="Q45" s="1"/>
      <c r="R45" s="1"/>
      <c r="S45" s="1"/>
      <c r="T45" s="1"/>
      <c r="U45" s="1"/>
      <c r="AW45"/>
      <c r="AX45"/>
      <c r="AY45"/>
      <c r="AZ45"/>
      <c r="BA45"/>
      <c r="BB45"/>
      <c r="BC45"/>
      <c r="BD45"/>
    </row>
    <row r="46" spans="1:56" s="1" customFormat="1"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</row>
    <row r="48" spans="1:56">
      <c r="B48" s="104" t="s">
        <v>17</v>
      </c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</row>
    <row r="50" spans="2:56">
      <c r="B50" s="27" t="s">
        <v>15</v>
      </c>
      <c r="C50" s="7" t="str">
        <f t="shared" ref="C50" si="38">C11</f>
        <v>Clutch Master Cylinder</v>
      </c>
      <c r="D50" s="7" t="str">
        <f t="shared" ref="D50:I50" si="39">D11</f>
        <v>Brake Caliper</v>
      </c>
      <c r="E50" s="7" t="str">
        <f t="shared" si="39"/>
        <v>Brake Caliper</v>
      </c>
      <c r="F50" s="7" t="str">
        <f t="shared" si="39"/>
        <v>Brake Caliper</v>
      </c>
      <c r="G50" s="7" t="str">
        <f t="shared" si="39"/>
        <v>Diferencial</v>
      </c>
      <c r="H50" s="7" t="str">
        <f t="shared" si="39"/>
        <v>Rodaje</v>
      </c>
      <c r="I50" s="7" t="str">
        <f t="shared" si="39"/>
        <v>Rodaje</v>
      </c>
      <c r="J50" s="7" t="str">
        <f t="shared" ref="J50:K50" si="40">J11</f>
        <v>Rodaje</v>
      </c>
      <c r="K50" s="7" t="str">
        <f t="shared" si="40"/>
        <v>Rodaje</v>
      </c>
      <c r="L50" s="7" t="str">
        <f t="shared" ref="L50" si="41">L11</f>
        <v>Rodaje</v>
      </c>
      <c r="N50" s="1"/>
      <c r="O50" s="1"/>
      <c r="P50" s="1"/>
      <c r="Q50" s="1"/>
      <c r="R50" s="1"/>
      <c r="S50" s="1"/>
      <c r="T50" s="1"/>
      <c r="U50" s="1"/>
      <c r="AW50"/>
      <c r="AX50"/>
      <c r="AY50"/>
      <c r="AZ50"/>
      <c r="BA50"/>
      <c r="BB50"/>
      <c r="BC50"/>
      <c r="BD50"/>
    </row>
    <row r="51" spans="2:56">
      <c r="B51" s="28" t="s">
        <v>19</v>
      </c>
      <c r="C51" s="23">
        <f>C18+C38+C31+'2'!C20*('1'!$J$31)</f>
        <v>280.05018249285803</v>
      </c>
      <c r="D51" s="23">
        <f>D18+D38+D31+'2'!D20*('1'!$J$31)</f>
        <v>1113.0199560613589</v>
      </c>
      <c r="E51" s="23">
        <f>E18+E38+E31+'2'!E20*('1'!$J$31)</f>
        <v>1507.9625211153893</v>
      </c>
      <c r="F51" s="23">
        <f>F18+F38+F31+'2'!F20*('1'!$J$31)</f>
        <v>430.84643460439702</v>
      </c>
      <c r="G51" s="23">
        <f>G18+G38+G31+'2'!G20*('1'!$J$31)</f>
        <v>448.08029198857287</v>
      </c>
      <c r="H51" s="23">
        <f>H18+H38+H31+'2'!H20*('1'!$J$31)</f>
        <v>343.24099290150292</v>
      </c>
      <c r="I51" s="23">
        <f>I18+I38+I31+'2'!I20*('1'!$J$31)</f>
        <v>465.31414937274877</v>
      </c>
      <c r="J51" s="23">
        <f>J18+J38+J31+'2'!J20*('1'!$J$31)</f>
        <v>713.05084927027701</v>
      </c>
      <c r="K51" s="23">
        <f>K18+K38+K31+'2'!K20*('1'!$J$31)</f>
        <v>213.26898512917651</v>
      </c>
      <c r="L51" s="23">
        <f>L18+L38+L31+'2'!L20*('1'!$J$31)</f>
        <v>266.40671206371883</v>
      </c>
      <c r="M51" s="23">
        <f>SUM(C51:L51)</f>
        <v>5781.2410749999999</v>
      </c>
      <c r="N51" s="1"/>
      <c r="O51" s="1"/>
      <c r="P51" s="1"/>
      <c r="Q51" s="1"/>
      <c r="R51" s="1"/>
      <c r="S51" s="1"/>
      <c r="T51" s="1"/>
      <c r="U51" s="1"/>
      <c r="AW51"/>
      <c r="AX51"/>
      <c r="AY51"/>
      <c r="AZ51"/>
      <c r="BA51"/>
      <c r="BB51"/>
      <c r="BC51"/>
      <c r="BD51"/>
    </row>
    <row r="52" spans="2:56">
      <c r="B52" s="5" t="s">
        <v>1</v>
      </c>
      <c r="C52" s="25">
        <f>+C17</f>
        <v>50</v>
      </c>
      <c r="D52" s="25">
        <f t="shared" ref="D52:I52" si="42">+D17</f>
        <v>50</v>
      </c>
      <c r="E52" s="25">
        <f t="shared" si="42"/>
        <v>50</v>
      </c>
      <c r="F52" s="25">
        <f t="shared" si="42"/>
        <v>2</v>
      </c>
      <c r="G52" s="25">
        <f t="shared" si="42"/>
        <v>2</v>
      </c>
      <c r="H52" s="25">
        <f t="shared" si="42"/>
        <v>50</v>
      </c>
      <c r="I52" s="25">
        <f t="shared" si="42"/>
        <v>50</v>
      </c>
      <c r="J52" s="25">
        <f t="shared" ref="J52:K52" si="43">+J17</f>
        <v>50</v>
      </c>
      <c r="K52" s="25">
        <f t="shared" si="43"/>
        <v>50</v>
      </c>
      <c r="L52" s="25">
        <f t="shared" ref="L52" si="44">+L17</f>
        <v>50</v>
      </c>
      <c r="N52" s="1"/>
      <c r="O52" s="1"/>
      <c r="P52" s="1"/>
      <c r="Q52" s="1"/>
      <c r="R52" s="1"/>
      <c r="S52" s="1"/>
      <c r="T52" s="1"/>
      <c r="U52" s="1"/>
      <c r="AW52"/>
      <c r="AX52"/>
      <c r="AY52"/>
      <c r="AZ52"/>
      <c r="BA52"/>
      <c r="BB52"/>
      <c r="BC52"/>
      <c r="BD52"/>
    </row>
    <row r="53" spans="2:56">
      <c r="B53" s="22" t="s">
        <v>18</v>
      </c>
      <c r="C53" s="23">
        <f t="shared" ref="C53:I53" si="45">C51/C52</f>
        <v>5.6010036498571605</v>
      </c>
      <c r="D53" s="23">
        <f t="shared" si="45"/>
        <v>22.260399121227177</v>
      </c>
      <c r="E53" s="23">
        <f t="shared" si="45"/>
        <v>30.159250422307785</v>
      </c>
      <c r="F53" s="23">
        <f t="shared" si="45"/>
        <v>215.42321730219851</v>
      </c>
      <c r="G53" s="23">
        <f t="shared" si="45"/>
        <v>224.04014599428643</v>
      </c>
      <c r="H53" s="23">
        <f t="shared" si="45"/>
        <v>6.8648198580300583</v>
      </c>
      <c r="I53" s="23">
        <f t="shared" si="45"/>
        <v>9.306282987454976</v>
      </c>
      <c r="J53" s="23">
        <f t="shared" ref="J53:K53" si="46">J51/J52</f>
        <v>14.26101698540554</v>
      </c>
      <c r="K53" s="23">
        <f t="shared" si="46"/>
        <v>4.2653797025835303</v>
      </c>
      <c r="L53" s="23">
        <f t="shared" ref="L53" si="47">L51/L52</f>
        <v>5.3281342412743768</v>
      </c>
      <c r="N53" s="1"/>
      <c r="O53" s="1"/>
      <c r="P53" s="1"/>
      <c r="Q53" s="1"/>
      <c r="R53" s="1"/>
      <c r="S53" s="1"/>
      <c r="T53" s="1"/>
      <c r="U53" s="1"/>
      <c r="AW53"/>
      <c r="AX53"/>
      <c r="AY53"/>
      <c r="AZ53"/>
      <c r="BA53"/>
      <c r="BB53"/>
      <c r="BC53"/>
      <c r="BD53"/>
    </row>
    <row r="54" spans="2:56">
      <c r="B54" s="5" t="s">
        <v>20</v>
      </c>
      <c r="C54" s="26">
        <f>C53*$Y$40</f>
        <v>20.723713504471494</v>
      </c>
      <c r="D54" s="26">
        <f>D53*$Y$40</f>
        <v>82.363476748540563</v>
      </c>
      <c r="E54" s="26">
        <f>E53*$Y$40</f>
        <v>111.58922656253881</v>
      </c>
      <c r="F54" s="26">
        <f>F53*$Y$40</f>
        <v>797.06590401813457</v>
      </c>
      <c r="G54" s="26">
        <f>G53*$Y$40</f>
        <v>828.94854017885984</v>
      </c>
      <c r="H54" s="26">
        <f>H53*$Y$40</f>
        <v>25.399833474711215</v>
      </c>
      <c r="I54" s="26">
        <f>I53*$Y$40</f>
        <v>34.433247053583415</v>
      </c>
      <c r="J54" s="26">
        <f>J53*$Y$40</f>
        <v>52.765762846000499</v>
      </c>
      <c r="K54" s="26">
        <f>K53*$Y$40</f>
        <v>15.781904899559063</v>
      </c>
      <c r="L54" s="26">
        <f>L53*$Y$40</f>
        <v>19.714096692715195</v>
      </c>
      <c r="N54" s="1"/>
      <c r="O54" s="1"/>
      <c r="P54" s="1"/>
      <c r="Q54" s="1"/>
      <c r="R54" s="1"/>
      <c r="S54" s="1"/>
      <c r="T54" s="1"/>
      <c r="U54" s="1"/>
      <c r="AW54"/>
      <c r="AX54"/>
      <c r="AY54"/>
      <c r="AZ54"/>
      <c r="BA54"/>
      <c r="BB54"/>
      <c r="BC54"/>
      <c r="BD54"/>
    </row>
  </sheetData>
  <mergeCells count="13">
    <mergeCell ref="B1:U1"/>
    <mergeCell ref="C8:G8"/>
    <mergeCell ref="C6:G6"/>
    <mergeCell ref="C5:G5"/>
    <mergeCell ref="C4:G4"/>
    <mergeCell ref="H4:L4"/>
    <mergeCell ref="H5:L5"/>
    <mergeCell ref="H6:L6"/>
    <mergeCell ref="H8:L8"/>
    <mergeCell ref="B42:U42"/>
    <mergeCell ref="O21:O22"/>
    <mergeCell ref="Q33:R34"/>
    <mergeCell ref="B28:U28"/>
  </mergeCells>
  <phoneticPr fontId="19" type="noConversion"/>
  <pageMargins left="0.7" right="0.7" top="0.75" bottom="0.75" header="0.3" footer="0.3"/>
  <pageSetup orientation="portrait" r:id="rId1"/>
  <cellWatches>
    <cellWatch r="M38"/>
  </cellWatches>
  <ignoredErrors>
    <ignoredError sqref="M24" 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1</vt:lpstr>
      <vt:lpstr>2</vt:lpstr>
      <vt:lpstr>'1'!Área_de_impresión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Pro business</cp:lastModifiedBy>
  <cp:lastPrinted>2025-06-27T19:29:39Z</cp:lastPrinted>
  <dcterms:created xsi:type="dcterms:W3CDTF">2022-02-19T20:43:21Z</dcterms:created>
  <dcterms:modified xsi:type="dcterms:W3CDTF">2025-06-27T19:30:55Z</dcterms:modified>
</cp:coreProperties>
</file>