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8_{78BA84D9-AC32-44FB-B347-CB40DA572E9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8" i="1"/>
  <c r="I11" i="2" s="1"/>
  <c r="D5" i="1"/>
  <c r="I8" i="2" s="1"/>
  <c r="D6" i="1"/>
  <c r="I9" i="2" s="1"/>
  <c r="T12" i="2" l="1"/>
  <c r="S11" i="2" a="1"/>
  <c r="S11" i="2" s="1"/>
  <c r="L22" i="1"/>
  <c r="D14" i="1"/>
  <c r="C19" i="1"/>
  <c r="C18" i="1"/>
  <c r="C31" i="1"/>
  <c r="E9" i="2"/>
  <c r="F37" i="2"/>
  <c r="O37" i="2" s="1"/>
  <c r="B37" i="2"/>
  <c r="N37" i="2" s="1"/>
  <c r="D17" i="1"/>
  <c r="D13" i="1"/>
  <c r="D12" i="1"/>
  <c r="D31" i="1" l="1"/>
  <c r="D18" i="1"/>
  <c r="S13" i="2"/>
  <c r="T13" i="2" s="1"/>
  <c r="S10" i="2" a="1"/>
  <c r="S10" i="2" s="1"/>
  <c r="T10" i="2" s="1"/>
  <c r="S14" i="2"/>
  <c r="D24" i="1" l="1"/>
  <c r="S16" i="2"/>
  <c r="M19" i="1" l="1"/>
  <c r="K18" i="1"/>
  <c r="K19" i="1"/>
  <c r="K20" i="1"/>
  <c r="K21" i="1"/>
  <c r="K22" i="1"/>
  <c r="K17" i="1"/>
  <c r="L19" i="1"/>
  <c r="G16" i="1"/>
  <c r="M17" i="1"/>
  <c r="T11" i="2"/>
  <c r="M18" i="1" s="1"/>
  <c r="T16" i="2" l="1"/>
  <c r="T14" i="2"/>
  <c r="M21" i="1" s="1"/>
  <c r="L20" i="1"/>
  <c r="L21" i="1"/>
  <c r="N21" i="1" s="1"/>
  <c r="N19" i="1"/>
  <c r="L18" i="1"/>
  <c r="L17" i="1"/>
  <c r="D45" i="1" s="1"/>
  <c r="I23" i="2"/>
  <c r="I20" i="2"/>
  <c r="C52" i="1"/>
  <c r="E37" i="2" s="1"/>
  <c r="E38" i="2" s="1"/>
  <c r="C50" i="1"/>
  <c r="D21" i="1" l="1"/>
  <c r="M20" i="1"/>
  <c r="N17" i="1"/>
  <c r="N18" i="1"/>
  <c r="N20" i="1"/>
  <c r="J23" i="2"/>
  <c r="D19" i="1"/>
  <c r="J31" i="2" l="1"/>
  <c r="C20" i="1"/>
  <c r="N21" i="2" l="1"/>
  <c r="O41" i="2"/>
  <c r="C44" i="1"/>
  <c r="C21" i="1"/>
  <c r="J15" i="2"/>
  <c r="C24" i="1"/>
  <c r="C23" i="1" l="1"/>
  <c r="C22" i="1"/>
  <c r="D22" i="1" s="1"/>
  <c r="J14" i="2"/>
  <c r="J30" i="2" s="1"/>
  <c r="J16" i="2" l="1"/>
  <c r="C45" i="1"/>
  <c r="C26" i="1" l="1"/>
  <c r="C25" i="1"/>
  <c r="D25" i="1" s="1"/>
  <c r="C34" i="1" l="1"/>
  <c r="D34" i="1" s="1"/>
  <c r="D23" i="1"/>
  <c r="C35" i="1" l="1"/>
  <c r="D35" i="1" s="1"/>
  <c r="D26" i="1"/>
  <c r="C36" i="1"/>
  <c r="D36" i="1" s="1"/>
  <c r="J20" i="2" l="1"/>
  <c r="J22" i="2"/>
  <c r="C37" i="1"/>
  <c r="D37" i="1" s="1"/>
  <c r="J21" i="2"/>
  <c r="C38" i="1" l="1"/>
  <c r="D38" i="1" s="1"/>
  <c r="J24" i="2"/>
  <c r="C51" i="1" l="1"/>
  <c r="D51" i="1" s="1"/>
  <c r="J26" i="2"/>
  <c r="J27" i="2" s="1"/>
  <c r="J32" i="2" l="1"/>
  <c r="C53" i="1"/>
  <c r="O42" i="2" l="1"/>
  <c r="O44" i="2" s="1"/>
  <c r="J33" i="2"/>
  <c r="C54" i="1"/>
  <c r="H37" i="2"/>
  <c r="J37" i="2" l="1"/>
  <c r="P37" i="2"/>
  <c r="Q37" i="2" s="1"/>
  <c r="I37" i="2"/>
  <c r="I3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D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<sst xmlns="http://schemas.openxmlformats.org/spreadsheetml/2006/main" count="188" uniqueCount="139">
  <si>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</si>
  <si>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</si>
  <si>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</si>
  <si>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</si>
  <si>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</si>
  <si>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</si>
  <si>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</si>
  <si>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</si>
  <si>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</si>
  <si>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</si>
  <si>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</si>
  <si>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</si>
  <si>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</si>
  <si>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</si>
  <si>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</si>
  <si>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</si>
  <si>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</si>
  <si>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</si>
  <si>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</si>
  <si>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</si>
  <si>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</si>
  <si>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</si>
  <si>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</si>
  <si>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</si>
  <si>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</si>
  <si>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</si>
  <si>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</si>
  <si>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</si>
  <si>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</si>
  <si>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</si>
  <si>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</si>
  <si>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</si>
  <si>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</si>
  <si>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</si>
  <si>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</si>
  <si>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</si>
  <si>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</si>
  <si>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</si>
  <si>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</si>
  <si>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</si>
  <si>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</si>
  <si>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</si>
  <si>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</si>
  <si>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</si>
  <si>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</si>
  <si>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</si>
  <si>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</si>
  <si>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</si>
  <si>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</si>
  <si>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</si>
  <si>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</si>
  <si>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</si>
  <si>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</si>
  <si>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</si>
  <si>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</si>
  <si>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</si>
  <si>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</si>
  <si>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</si>
  <si>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</si>
  <si>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</si>
  <si>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</si>
  <si>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</si>
  <si>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</si>
  <si>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</si>
  <si>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</si>
  <si>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15.El cliente estará sujeto a pagar mayor el ad- valorem en caso aduanas aplique cambios de partida. </t>
  </si>
  <si>
    <t>17.Los ajustes de valor que aplique la aduana serán asumidos por el cliente.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</si>
  <si>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</si>
  <si>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</si>
  <si>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</si>
  <si>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</si>
  <si>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</si>
  <si>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</si>
  <si>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</si>
  <si>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</si>
  <si>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</si>
  <si>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</si>
  <si>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</si>
  <si>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</si>
  <si>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</si>
  <si>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</si>
  <si>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</si>
  <si>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</si>
  <si>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</si>
  <si>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</si>
  <si>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</si>
  <si>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</si>
  <si>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</si>
  <si>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</si>
  <si>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</si>
  <si>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</si>
  <si>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</si>
  <si>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</si>
  <si>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</si>
  <si>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</si>
  <si>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</si>
  <si>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</si>
  <si>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</si>
  <si>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</si>
  <si>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</si>
  <si>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</si>
  <si>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</si>
  <si>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</si>
  <si>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</si>
  <si>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</si>
  <si>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</si>
  <si>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</si>
  <si>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</si>
  <si>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</si>
  <si>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</si>
  <si>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</si>
  <si>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</si>
  <si>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</si>
  <si>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</si>
  <si>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</si>
  <si>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</si>
  <si>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</si>
  <si>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</si>
  <si>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</si>
  <si>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</si>
  <si>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</si>
  <si>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</si>
  <si>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</si>
  <si>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</si>
  <si>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</si>
  <si>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</si>
  <si>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</si>
  <si>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</si>
  <si>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</si>
  <si>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</si>
  <si>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</si>
  <si>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</si>
  <si>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</si>
  <si>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</si>
  <si>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</si>
  <si>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Servicio de Consolidado antes de la Fecha de Corte 24/10</t>
  </si>
  <si>
    <t>Pago de Impuestos antes del Arribo 10/12</t>
  </si>
  <si>
    <t>EXPENDABLE MACHINE FOR DRINKS &amp; FOOD</t>
  </si>
  <si>
    <t>Francis Torres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</si>
</sst>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[$$-409]#,##0"/>
    <numFmt numFmtId="167" formatCode="_-[$$-540A]* #,##0.00_ ;_-[$$-540A]* \-#,##0.00\ ;_-[$$-540A]* &quot;-&quot;??_ ;_-@_ "/>
    <numFmt numFmtId="168" formatCode="0.00\ &quot;cm&quot;"/>
    <numFmt numFmtId="169" formatCode="#,##0.000\ &quot;m3&quot;"/>
    <numFmt numFmtId="170" formatCode="0.0\ &quot;cm&quot;"/>
    <numFmt numFmtId="171" formatCode="0.0\ &quot;kg&quot;"/>
    <numFmt numFmtId="172" formatCode="_-[$S/-280A]\ * #,##0.00_-;\-[$S/-280A]\ * #,##0.00_-;_-[$S/-280A]\ * &quot;-&quot;??_-;_-@_-"/>
    <numFmt numFmtId="173" formatCode="_-[$$-409]* #,##0.0_ ;_-[$$-409]* \-#,##0.0\ ;_-[$$-409]* &quot;-&quot;??_ ;_-@_ "/>
    <numFmt numFmtId="174" formatCode="_-[$$-540A]* #,##0.000_ ;_-[$$-540A]* \-#,##0.000\ ;_-[$$-540A]* &quot;-&quot;???_ ;_-@_ "/>
    <numFmt numFmtId="175" formatCode="0.00\ &quot;x UC&quot;"/>
    <numFmt numFmtId="176" formatCode="_-[$$-409]* #,##0.000_ ;_-[$$-409]* \-#,##0.000\ ;_-[$$-409]* &quot;-&quot;???_ ;_-@_ "/>
    <numFmt numFmtId="177" formatCode="[$$-540A]#,##0.00"/>
    <numFmt numFmtId="178" formatCode="\$#,##0.00;\-\$#,##0.00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name val="宋体"/>
      <family val="3"/>
      <charset val="134"/>
    </font>
    <font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</cellStyleXfs>
  <cellXfs count="17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6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7" fontId="10" fillId="2" borderId="0" xfId="0" applyNumberFormat="1" applyFont="1" applyFill="1" applyAlignment="1">
      <alignment horizontal="center"/>
    </xf>
    <xf numFmtId="167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4" fontId="0" fillId="2" borderId="0" xfId="0" applyNumberFormat="1" applyFill="1"/>
    <xf numFmtId="175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7" fontId="0" fillId="2" borderId="1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3" fontId="20" fillId="2" borderId="0" xfId="0" applyNumberFormat="1" applyFont="1" applyFill="1"/>
    <xf numFmtId="0" fontId="0" fillId="4" borderId="14" xfId="0" applyFill="1" applyBorder="1"/>
    <xf numFmtId="169" fontId="10" fillId="2" borderId="1" xfId="0" applyNumberFormat="1" applyFont="1" applyFill="1" applyBorder="1" applyAlignment="1">
      <alignment horizontal="center"/>
    </xf>
    <xf numFmtId="171" fontId="10" fillId="2" borderId="1" xfId="0" applyNumberFormat="1" applyFont="1" applyFill="1" applyBorder="1" applyAlignment="1">
      <alignment horizontal="center"/>
    </xf>
    <xf numFmtId="169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1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27" fillId="1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2" fontId="28" fillId="2" borderId="1" xfId="0" applyNumberFormat="1" applyFont="1" applyFill="1" applyBorder="1" applyAlignment="1">
      <alignment horizontal="center"/>
    </xf>
    <xf numFmtId="167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4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20" fillId="2" borderId="7" xfId="0" applyNumberFormat="1" applyFont="1" applyFill="1" applyBorder="1"/>
    <xf numFmtId="178" fontId="39" fillId="0" borderId="1" xfId="13" applyNumberFormat="1" applyFont="1" applyBorder="1" applyAlignment="1">
      <alignment horizontal="center" vertical="center"/>
    </xf>
    <xf numFmtId="0" fontId="3" fillId="2" borderId="23" xfId="0" applyFont="1" applyFill="1" applyBorder="1" applyAlignment="1">
      <alignment horizont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7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9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172" fontId="9" fillId="5" borderId="1" xfId="0" applyNumberFormat="1" applyFont="1" applyFill="1" applyBorder="1" applyAlignment="1">
      <alignment horizontal="center"/>
    </xf>
    <xf numFmtId="172" fontId="34" fillId="11" borderId="0" xfId="0" applyNumberFormat="1" applyFont="1" applyFill="1" applyAlignment="1">
      <alignment horizontal="center" vertical="center" wrapText="1"/>
    </xf>
    <xf numFmtId="172" fontId="34" fillId="11" borderId="2" xfId="0" applyNumberFormat="1" applyFont="1" applyFill="1" applyBorder="1" applyAlignment="1">
      <alignment horizontal="center" vertical="center" wrapText="1"/>
    </xf>
    <xf numFmtId="172" fontId="34" fillId="11" borderId="20" xfId="0" applyNumberFormat="1" applyFont="1" applyFill="1" applyBorder="1" applyAlignment="1">
      <alignment horizontal="center" vertical="center" wrapText="1"/>
    </xf>
    <xf numFmtId="172" fontId="34" fillId="11" borderId="21" xfId="0" applyNumberFormat="1" applyFont="1" applyFill="1" applyBorder="1" applyAlignment="1">
      <alignment horizontal="center" vertical="center" wrapText="1"/>
    </xf>
    <xf numFmtId="172" fontId="34" fillId="11" borderId="10" xfId="0" applyNumberFormat="1" applyFont="1" applyFill="1" applyBorder="1" applyAlignment="1">
      <alignment horizontal="center" vertical="center"/>
    </xf>
    <xf numFmtId="172" fontId="34" fillId="11" borderId="12" xfId="0" applyNumberFormat="1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172" fontId="34" fillId="11" borderId="18" xfId="0" applyNumberFormat="1" applyFont="1" applyFill="1" applyBorder="1" applyAlignment="1">
      <alignment horizontal="center" vertical="center" wrapText="1"/>
    </xf>
    <xf numFmtId="172" fontId="34" fillId="11" borderId="19" xfId="0" applyNumberFormat="1" applyFont="1" applyFill="1" applyBorder="1" applyAlignment="1">
      <alignment horizontal="center" vertical="center" wrapText="1"/>
    </xf>
    <xf numFmtId="172" fontId="34" fillId="11" borderId="16" xfId="0" applyNumberFormat="1" applyFont="1" applyFill="1" applyBorder="1" applyAlignment="1">
      <alignment horizontal="center" vertical="center" wrapText="1"/>
    </xf>
    <xf numFmtId="172" fontId="34" fillId="11" borderId="17" xfId="0" applyNumberFormat="1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</cellXfs>
  <cellStyles count="14"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 3" xfId="13" xr:uid="{92161FD9-0594-4A7B-B8BF-54BFC5C6EEFB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56</xdr:row>
      <xdr:rowOff>147864</xdr:rowOff>
    </xdr:from>
    <xdr:to>
      <xdr:col>1</xdr:col>
      <xdr:colOff>299357</xdr:colOff>
      <xdr:row>58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56</xdr:row>
      <xdr:rowOff>139247</xdr:rowOff>
    </xdr:from>
    <xdr:to>
      <xdr:col>1</xdr:col>
      <xdr:colOff>503464</xdr:colOff>
      <xdr:row>58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73</xdr:row>
      <xdr:rowOff>147864</xdr:rowOff>
    </xdr:from>
    <xdr:to>
      <xdr:col>2</xdr:col>
      <xdr:colOff>161126</xdr:colOff>
      <xdr:row>75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73</xdr:row>
      <xdr:rowOff>139247</xdr:rowOff>
    </xdr:from>
    <xdr:to>
      <xdr:col>2</xdr:col>
      <xdr:colOff>258536</xdr:colOff>
      <xdr:row>75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87</xdr:row>
      <xdr:rowOff>147864</xdr:rowOff>
    </xdr:from>
    <xdr:to>
      <xdr:col>1</xdr:col>
      <xdr:colOff>629124</xdr:colOff>
      <xdr:row>89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87</xdr:row>
      <xdr:rowOff>139248</xdr:rowOff>
    </xdr:from>
    <xdr:to>
      <xdr:col>2</xdr:col>
      <xdr:colOff>462643</xdr:colOff>
      <xdr:row>89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2</xdr:row>
          <xdr:rowOff>220980</xdr:rowOff>
        </xdr:from>
        <xdr:to>
          <xdr:col>18</xdr:col>
          <xdr:colOff>464820</xdr:colOff>
          <xdr:row>5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8</xdr:col>
      <xdr:colOff>654457</xdr:colOff>
      <xdr:row>51</xdr:row>
      <xdr:rowOff>216239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49</xdr:row>
      <xdr:rowOff>59531</xdr:rowOff>
    </xdr:from>
    <xdr:to>
      <xdr:col>9</xdr:col>
      <xdr:colOff>218434</xdr:colOff>
      <xdr:row>54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48</xdr:row>
      <xdr:rowOff>174625</xdr:rowOff>
    </xdr:from>
    <xdr:to>
      <xdr:col>2</xdr:col>
      <xdr:colOff>119066</xdr:colOff>
      <xdr:row>54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79078</xdr:rowOff>
    </xdr:from>
    <xdr:to>
      <xdr:col>8</xdr:col>
      <xdr:colOff>464757</xdr:colOff>
      <xdr:row>94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96</xdr:row>
      <xdr:rowOff>166510</xdr:rowOff>
    </xdr:from>
    <xdr:to>
      <xdr:col>5</xdr:col>
      <xdr:colOff>401739</xdr:colOff>
      <xdr:row>111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74083</xdr:colOff>
      <xdr:row>21</xdr:row>
      <xdr:rowOff>95250</xdr:rowOff>
    </xdr:from>
    <xdr:to>
      <xdr:col>9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09"/>
  <sheetViews>
    <sheetView showGridLines="0" tabSelected="1" zoomScale="85" zoomScaleNormal="85" zoomScaleSheetLayoutView="80" workbookViewId="0">
      <selection activeCell="B9" sqref="B9"/>
    </sheetView>
  </sheetViews>
  <sheetFormatPr baseColWidth="10" defaultColWidth="10.88671875" defaultRowHeight="14.4"/>
  <cols>
    <col min="1" max="1" width="13.88671875" style="1" customWidth="1"/>
    <col min="2" max="2" width="28.33203125" style="1" bestFit="1" customWidth="1"/>
    <col min="3" max="3" width="2.44140625" style="1" customWidth="1"/>
    <col min="4" max="4" width="13.44140625" style="1" bestFit="1" customWidth="1"/>
    <col min="5" max="5" width="10.88671875" style="1" customWidth="1"/>
    <col min="6" max="6" width="12" style="1" customWidth="1"/>
    <col min="7" max="7" width="2.44140625" style="1" customWidth="1"/>
    <col min="8" max="8" width="10.5546875" style="1" bestFit="1" customWidth="1"/>
    <col min="9" max="9" width="13.6640625" style="1" customWidth="1"/>
    <col min="10" max="10" width="11.33203125" style="1" bestFit="1" customWidth="1"/>
    <col min="11" max="11" width="11.44140625" style="1" customWidth="1"/>
    <col min="12" max="12" width="7.109375" style="1" customWidth="1"/>
    <col min="13" max="13" width="9" style="1" customWidth="1"/>
    <col min="14" max="14" width="40.33203125" style="1" bestFit="1" customWidth="1"/>
    <col min="15" max="15" width="25.88671875" style="1" customWidth="1"/>
    <col min="16" max="16" width="19.88671875" style="1" customWidth="1"/>
    <col min="17" max="17" width="20.109375" style="1" customWidth="1"/>
    <col min="18" max="18" width="11.44140625" style="1" customWidth="1"/>
    <col min="19" max="19" width="16.44140625" style="1" bestFit="1" customWidth="1"/>
    <col min="20" max="20" width="11.44140625" style="1" customWidth="1"/>
    <col min="21" max="16384" width="10.88671875" style="1"/>
  </cols>
  <sheetData>
    <row r="1" spans="1:25" ht="18">
      <c r="H1" s="32"/>
      <c r="I1" s="32"/>
      <c r="J1" s="32"/>
      <c r="K1" s="31"/>
    </row>
    <row r="2" spans="1:25" ht="18">
      <c r="H2" s="32"/>
      <c r="I2" s="32"/>
      <c r="J2" s="32"/>
      <c r="K2" s="31"/>
    </row>
    <row r="3" spans="1:25">
      <c r="F3" s="136"/>
      <c r="G3" s="136"/>
      <c r="H3" s="136"/>
      <c r="I3" s="136"/>
      <c r="W3" s="5" t="s">
        <v>77</v>
      </c>
    </row>
    <row r="4" spans="1:25">
      <c r="F4" s="137"/>
      <c r="G4" s="137"/>
      <c r="H4" s="137"/>
      <c r="I4" s="137"/>
      <c r="J4" s="40"/>
      <c r="W4" s="5" t="s">
        <v>78</v>
      </c>
    </row>
    <row r="5" spans="1:25">
      <c r="W5" s="5" t="s">
        <v>79</v>
      </c>
    </row>
    <row r="6" spans="1:25">
      <c r="B6" s="72"/>
      <c r="C6" s="72"/>
      <c r="E6" s="72"/>
      <c r="F6" s="72"/>
      <c r="G6" s="72"/>
      <c r="W6" s="82" t="s">
        <v>83</v>
      </c>
    </row>
    <row r="7" spans="1:25">
      <c r="D7" s="138" t="s">
        <v>114</v>
      </c>
      <c r="E7" s="138"/>
      <c r="F7" s="138"/>
      <c r="W7" s="5" t="s">
        <v>82</v>
      </c>
    </row>
    <row r="8" spans="1:25">
      <c r="A8" s="33" t="s">
        <v>76</v>
      </c>
      <c r="B8" s="47" t="s">
        <v>138</v>
      </c>
      <c r="D8" s="66" t="s">
        <v>24</v>
      </c>
      <c r="E8" s="67" t="s">
        <v>25</v>
      </c>
      <c r="F8" s="68"/>
      <c r="G8" s="31"/>
      <c r="H8" s="1" t="s">
        <v>30</v>
      </c>
      <c r="I8" s="147">
        <f>+'2'!D5</f>
        <v>1</v>
      </c>
      <c r="J8" s="147"/>
      <c r="K8" s="147"/>
      <c r="T8" s="88"/>
      <c r="W8" s="5" t="s">
        <v>86</v>
      </c>
    </row>
    <row r="9" spans="1:25">
      <c r="A9" s="33" t="s">
        <v>113</v>
      </c>
      <c r="B9" s="47"/>
      <c r="D9" s="69" t="s">
        <v>100</v>
      </c>
      <c r="E9" s="165">
        <f ca="1">+TODAY()</f>
        <v>45953</v>
      </c>
      <c r="F9" s="166"/>
      <c r="G9" s="31"/>
      <c r="H9" s="1" t="s">
        <v>29</v>
      </c>
      <c r="I9" s="148">
        <f>+'2'!D6</f>
        <v>370</v>
      </c>
      <c r="J9" s="148"/>
      <c r="K9" s="148"/>
      <c r="R9" s="3"/>
      <c r="S9" s="120" t="s">
        <v>85</v>
      </c>
      <c r="T9" s="6" t="s">
        <v>54</v>
      </c>
    </row>
    <row r="10" spans="1:25">
      <c r="A10" s="33" t="s">
        <v>112</v>
      </c>
      <c r="B10" s="47"/>
      <c r="D10" s="78" t="s">
        <v>26</v>
      </c>
      <c r="E10" s="1" t="s">
        <v>27</v>
      </c>
      <c r="F10" s="77"/>
      <c r="G10" s="31"/>
      <c r="H10" s="1" t="s">
        <v>70</v>
      </c>
      <c r="I10" s="91">
        <v>0</v>
      </c>
      <c r="J10" s="91">
        <v>0</v>
      </c>
      <c r="K10" s="91">
        <v>0</v>
      </c>
      <c r="R10" s="81" t="s">
        <v>79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832.82744999999989</v>
      </c>
      <c r="T10" s="85">
        <f>IF($I$11&lt;1,S10,S10/$I$11)</f>
        <v>350</v>
      </c>
      <c r="U10" s="49"/>
      <c r="V10" s="81"/>
      <c r="W10" s="81" t="s">
        <v>79</v>
      </c>
      <c r="X10" s="81" t="s">
        <v>78</v>
      </c>
      <c r="Y10" s="81" t="s">
        <v>83</v>
      </c>
    </row>
    <row r="11" spans="1:25">
      <c r="A11" s="33" t="s">
        <v>23</v>
      </c>
      <c r="B11" s="55">
        <v>51912705923</v>
      </c>
      <c r="D11" s="70" t="s">
        <v>22</v>
      </c>
      <c r="E11" s="38" t="s">
        <v>79</v>
      </c>
      <c r="F11" s="71"/>
      <c r="H11" s="1" t="s">
        <v>28</v>
      </c>
      <c r="I11" s="142">
        <f>+'2'!D8</f>
        <v>2.3795069999999998</v>
      </c>
      <c r="J11" s="142"/>
      <c r="K11" s="142"/>
      <c r="L11" s="61"/>
      <c r="R11" s="81" t="s">
        <v>78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773.33977499999992</v>
      </c>
      <c r="T11" s="85">
        <f>IF($I$11&lt;1,S11,S11/$I$11)</f>
        <v>325</v>
      </c>
      <c r="U11" s="3"/>
      <c r="V11" s="81" t="s">
        <v>101</v>
      </c>
      <c r="W11" s="81">
        <v>280</v>
      </c>
      <c r="X11" s="81">
        <v>260</v>
      </c>
      <c r="Y11" s="164">
        <v>250</v>
      </c>
    </row>
    <row r="12" spans="1:25">
      <c r="R12" s="81" t="s">
        <v>86</v>
      </c>
      <c r="S12" s="119"/>
      <c r="T12" s="85">
        <f>IF($I$11&lt;1,S12,S12/$I$11)</f>
        <v>0</v>
      </c>
      <c r="U12" s="3"/>
      <c r="V12" s="81" t="s">
        <v>102</v>
      </c>
      <c r="W12" s="81">
        <v>375</v>
      </c>
      <c r="X12" s="81">
        <v>350</v>
      </c>
      <c r="Y12" s="164"/>
    </row>
    <row r="13" spans="1:25">
      <c r="A13" s="144" t="s">
        <v>31</v>
      </c>
      <c r="B13" s="144"/>
      <c r="C13" s="144"/>
      <c r="D13" s="144"/>
      <c r="E13" s="144"/>
      <c r="F13" s="59"/>
      <c r="G13" s="59"/>
      <c r="H13" s="62"/>
      <c r="I13" s="62"/>
      <c r="J13" s="36" t="s">
        <v>34</v>
      </c>
      <c r="K13" s="36" t="s">
        <v>33</v>
      </c>
      <c r="R13" s="81" t="s">
        <v>83</v>
      </c>
      <c r="S13" s="50">
        <f>IF('1'!$I$11&lt;1,250,IF('1'!$I$11&lt;4,250*'1'!$I$11,IF('1'!$I$11&lt;=10,250*'1'!$I$11,IF('1'!$I$11&gt;10,250*'1'!$I$11,"VERIFICA EL CBM"))))</f>
        <v>594.8767499999999</v>
      </c>
      <c r="T13" s="85">
        <f>IF($I$11&lt;1,S13,S13/$I$11)</f>
        <v>249.99999999999997</v>
      </c>
      <c r="U13" s="87"/>
      <c r="V13" s="105" t="s">
        <v>103</v>
      </c>
      <c r="W13" s="105">
        <v>375</v>
      </c>
      <c r="X13" s="81">
        <v>350</v>
      </c>
      <c r="Y13" s="164"/>
    </row>
    <row r="14" spans="1:25">
      <c r="A14" s="158" t="s">
        <v>36</v>
      </c>
      <c r="B14" s="158"/>
      <c r="C14" s="158"/>
      <c r="D14" s="31"/>
      <c r="E14" s="31"/>
      <c r="F14" s="31"/>
      <c r="G14" s="31"/>
      <c r="J14" s="45">
        <f>'2'!D18</f>
        <v>3100</v>
      </c>
      <c r="K14" s="34" t="s">
        <v>35</v>
      </c>
      <c r="R14" s="81" t="s">
        <v>82</v>
      </c>
      <c r="S14" s="50">
        <f>IF('1'!$I$11&lt;1,250,250*'1'!$I$11)</f>
        <v>594.8767499999999</v>
      </c>
      <c r="T14" s="85">
        <f>IF($I$11&lt;1,S14,S14/$I$11)</f>
        <v>249.99999999999997</v>
      </c>
      <c r="V14" s="105" t="s">
        <v>104</v>
      </c>
      <c r="W14" s="105">
        <v>350</v>
      </c>
      <c r="X14" s="81">
        <v>325</v>
      </c>
      <c r="Y14" s="164"/>
    </row>
    <row r="15" spans="1:25">
      <c r="A15" s="157" t="s">
        <v>32</v>
      </c>
      <c r="B15" s="157"/>
      <c r="C15" s="157"/>
      <c r="D15" s="38"/>
      <c r="E15" s="38"/>
      <c r="F15" s="38"/>
      <c r="G15" s="38"/>
      <c r="H15" s="38"/>
      <c r="I15" s="38"/>
      <c r="J15" s="46">
        <f>IF(I11&lt;1,'2'!D21+'2'!D24,60%*(T16*I11)+'2'!D24)</f>
        <v>549.69646999999986</v>
      </c>
      <c r="K15" s="39" t="s">
        <v>35</v>
      </c>
      <c r="V15" s="81" t="s">
        <v>105</v>
      </c>
      <c r="W15" s="81">
        <v>325</v>
      </c>
      <c r="X15" s="81">
        <v>300</v>
      </c>
      <c r="Y15" s="164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3649.6964699999999</v>
      </c>
      <c r="K16" s="34" t="s">
        <v>35</v>
      </c>
      <c r="O16" s="49"/>
      <c r="R16" s="81" t="s">
        <v>88</v>
      </c>
      <c r="S16" s="81" t="str">
        <f>E11</f>
        <v>NUEVO</v>
      </c>
      <c r="T16" s="81">
        <f>VLOOKUP(S16,R10:T14,3,0)</f>
        <v>350</v>
      </c>
      <c r="V16" s="81" t="s">
        <v>106</v>
      </c>
      <c r="W16" s="81">
        <v>300</v>
      </c>
      <c r="X16" s="81">
        <v>280</v>
      </c>
      <c r="Y16" s="164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44" t="s">
        <v>98</v>
      </c>
      <c r="B19" s="144"/>
      <c r="C19" s="144"/>
      <c r="D19" s="144"/>
      <c r="E19" s="144"/>
      <c r="F19" s="59"/>
      <c r="G19" s="59"/>
      <c r="H19" s="59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3">
        <f>MAX('2'!C33:C33)</f>
        <v>0</v>
      </c>
      <c r="J20" s="45">
        <f>'2'!D34</f>
        <v>0</v>
      </c>
      <c r="K20" s="34" t="s">
        <v>35</v>
      </c>
      <c r="N20" s="113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3">
        <v>0.16</v>
      </c>
      <c r="J21" s="45">
        <f>'2'!D35</f>
        <v>583.95143519999999</v>
      </c>
      <c r="K21" s="34" t="s">
        <v>35</v>
      </c>
      <c r="N21" s="114">
        <f>J31/I11</f>
        <v>350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3">
        <v>0.02</v>
      </c>
      <c r="J22" s="45">
        <f>'2'!D36</f>
        <v>72.993929399999999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0">
        <f>MAX('2'!C30:C30)</f>
        <v>0</v>
      </c>
      <c r="J23" s="46">
        <f>'2'!D31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656.94536459999995</v>
      </c>
      <c r="K24" s="34" t="s">
        <v>35</v>
      </c>
      <c r="L24" s="79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4" t="s">
        <v>71</v>
      </c>
      <c r="J26" s="46">
        <f>'2'!D37</f>
        <v>150.73246421099998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807.67782881099993</v>
      </c>
      <c r="K27" s="34" t="s">
        <v>35</v>
      </c>
    </row>
    <row r="29" spans="1:15" ht="15.6">
      <c r="A29" s="143" t="s">
        <v>95</v>
      </c>
      <c r="B29" s="143"/>
      <c r="C29" s="143"/>
      <c r="D29" s="143"/>
      <c r="E29" s="143"/>
      <c r="F29" s="89"/>
      <c r="G29" s="89"/>
      <c r="H29" s="90"/>
      <c r="I29" s="90"/>
      <c r="J29" s="90" t="s">
        <v>34</v>
      </c>
      <c r="K29" s="90" t="s">
        <v>33</v>
      </c>
    </row>
    <row r="30" spans="1:15">
      <c r="A30" s="31" t="s">
        <v>94</v>
      </c>
      <c r="B30" s="31"/>
      <c r="C30" s="31"/>
      <c r="D30" s="31"/>
      <c r="E30" s="31"/>
      <c r="F30" s="31"/>
      <c r="G30" s="31"/>
      <c r="H30" s="45"/>
      <c r="I30" s="45"/>
      <c r="J30" s="45">
        <f>J14</f>
        <v>3100</v>
      </c>
      <c r="K30" s="34" t="s">
        <v>35</v>
      </c>
    </row>
    <row r="31" spans="1:15">
      <c r="A31" s="31" t="s">
        <v>97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832.82744999999989</v>
      </c>
      <c r="K31" s="34" t="s">
        <v>35</v>
      </c>
      <c r="L31" s="113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807.67782881099993</v>
      </c>
      <c r="K32" s="39" t="s">
        <v>35</v>
      </c>
      <c r="N32" s="2"/>
    </row>
    <row r="33" spans="1:19">
      <c r="A33" s="33" t="s">
        <v>96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4740.5052788109997</v>
      </c>
      <c r="K33" s="34" t="s">
        <v>35</v>
      </c>
      <c r="M33" s="145" t="s">
        <v>119</v>
      </c>
      <c r="N33" s="145"/>
      <c r="O33" s="145"/>
      <c r="P33" s="145"/>
      <c r="Q33" s="145"/>
    </row>
    <row r="34" spans="1:19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46"/>
      <c r="N34" s="146"/>
      <c r="O34" s="146"/>
      <c r="P34" s="146"/>
      <c r="Q34" s="146"/>
    </row>
    <row r="35" spans="1:19" ht="15" customHeight="1">
      <c r="A35" s="161" t="s">
        <v>99</v>
      </c>
      <c r="B35" s="162"/>
      <c r="C35" s="162"/>
      <c r="D35" s="162"/>
      <c r="E35" s="162"/>
      <c r="F35" s="162"/>
      <c r="G35" s="162"/>
      <c r="H35" s="162"/>
      <c r="I35" s="162"/>
      <c r="J35" s="162"/>
      <c r="K35" s="163"/>
      <c r="M35" s="154" t="s">
        <v>46</v>
      </c>
      <c r="N35" s="169" t="s">
        <v>74</v>
      </c>
      <c r="O35" s="150" t="s">
        <v>115</v>
      </c>
      <c r="P35" s="152" t="s">
        <v>116</v>
      </c>
      <c r="Q35" s="167" t="s">
        <v>117</v>
      </c>
    </row>
    <row r="36" spans="1:19" ht="17.25" customHeight="1">
      <c r="A36" s="60" t="s">
        <v>46</v>
      </c>
      <c r="B36" s="139" t="s">
        <v>74</v>
      </c>
      <c r="C36" s="140"/>
      <c r="D36" s="141"/>
      <c r="E36" s="7" t="s">
        <v>1</v>
      </c>
      <c r="F36" s="139" t="s">
        <v>75</v>
      </c>
      <c r="G36" s="141"/>
      <c r="H36" s="5" t="s">
        <v>72</v>
      </c>
      <c r="I36" s="73" t="s">
        <v>8</v>
      </c>
      <c r="J36" s="149" t="s">
        <v>73</v>
      </c>
      <c r="K36" s="149"/>
      <c r="M36" s="155"/>
      <c r="N36" s="170"/>
      <c r="O36" s="151"/>
      <c r="P36" s="153"/>
      <c r="Q36" s="168"/>
    </row>
    <row r="37" spans="1:19">
      <c r="A37" s="60">
        <v>1</v>
      </c>
      <c r="B37" s="139" t="str">
        <f>+'2'!$C$11</f>
        <v>EXPENDABLE MACHINE FOR DRINKS &amp; FOOD</v>
      </c>
      <c r="C37" s="140"/>
      <c r="D37" s="141"/>
      <c r="E37" s="7">
        <f>+'2'!$C$52</f>
        <v>1</v>
      </c>
      <c r="F37" s="159">
        <f>+'2'!$C$15</f>
        <v>3100</v>
      </c>
      <c r="G37" s="160"/>
      <c r="H37" s="74">
        <f>+'2'!$C$53</f>
        <v>4740.5052788109997</v>
      </c>
      <c r="I37" s="74">
        <f t="shared" ref="I37" si="0">+E37*H37</f>
        <v>4740.5052788109997</v>
      </c>
      <c r="J37" s="149">
        <f>H37*3.8</f>
        <v>18013.920059481799</v>
      </c>
      <c r="K37" s="149"/>
      <c r="M37" s="60">
        <v>1</v>
      </c>
      <c r="N37" s="103" t="str">
        <f>+B37</f>
        <v>EXPENDABLE MACHINE FOR DRINKS &amp; FOOD</v>
      </c>
      <c r="O37" s="106">
        <f>+F37</f>
        <v>3100</v>
      </c>
      <c r="P37" s="74">
        <f>+H37</f>
        <v>4740.5052788109997</v>
      </c>
      <c r="Q37" s="108">
        <f>P37*3.8</f>
        <v>18013.920059481799</v>
      </c>
    </row>
    <row r="38" spans="1:19" ht="15.6">
      <c r="A38" s="65" t="s">
        <v>8</v>
      </c>
      <c r="B38" s="2"/>
      <c r="C38" s="2"/>
      <c r="D38" s="2"/>
      <c r="E38" s="43">
        <f>+SUM(E37:E37)</f>
        <v>1</v>
      </c>
      <c r="F38" s="2"/>
      <c r="G38" s="2"/>
      <c r="I38" s="121">
        <f>+SUM(I37:I37)</f>
        <v>4740.5052788109997</v>
      </c>
      <c r="J38" s="75"/>
      <c r="K38" s="76"/>
      <c r="L38" s="2"/>
    </row>
    <row r="39" spans="1:19" ht="15.75" customHeight="1">
      <c r="A39" s="65"/>
      <c r="B39" s="2"/>
      <c r="C39" s="2"/>
      <c r="D39" s="2"/>
      <c r="E39" s="43"/>
      <c r="F39" s="2"/>
      <c r="G39" s="2"/>
      <c r="I39" s="94"/>
      <c r="J39" s="75"/>
      <c r="K39" s="76"/>
      <c r="M39" s="135" t="s">
        <v>118</v>
      </c>
      <c r="N39" s="135"/>
      <c r="O39" s="135"/>
      <c r="P39" s="124" t="s">
        <v>124</v>
      </c>
      <c r="Q39" s="125"/>
    </row>
    <row r="40" spans="1:19" ht="18.75" customHeight="1">
      <c r="A40" s="92" t="s">
        <v>53</v>
      </c>
      <c r="B40" s="31"/>
      <c r="C40" s="31"/>
      <c r="D40" s="31"/>
      <c r="E40" s="31"/>
      <c r="F40" s="31"/>
      <c r="G40" s="31"/>
      <c r="H40" s="31"/>
      <c r="I40" s="31"/>
      <c r="J40" s="31"/>
      <c r="M40" s="135"/>
      <c r="N40" s="135"/>
      <c r="O40" s="135"/>
      <c r="P40" s="126"/>
      <c r="Q40" s="127"/>
    </row>
    <row r="41" spans="1:19" ht="21">
      <c r="A41" s="93" t="s">
        <v>89</v>
      </c>
      <c r="B41" s="31"/>
      <c r="C41" s="31"/>
      <c r="D41" s="31"/>
      <c r="E41" s="31"/>
      <c r="F41" s="31"/>
      <c r="G41" s="31"/>
      <c r="H41" s="31"/>
      <c r="I41" s="31"/>
      <c r="J41" s="31"/>
      <c r="M41" s="128" t="s">
        <v>120</v>
      </c>
      <c r="N41" s="129"/>
      <c r="O41" s="109">
        <f>+J31</f>
        <v>832.82744999999989</v>
      </c>
      <c r="P41" s="107" t="s">
        <v>135</v>
      </c>
    </row>
    <row r="42" spans="1:19" ht="21">
      <c r="A42" s="93" t="s">
        <v>90</v>
      </c>
      <c r="B42" s="31"/>
      <c r="C42" s="31"/>
      <c r="D42" s="31"/>
      <c r="E42" s="31"/>
      <c r="F42" s="31"/>
      <c r="G42" s="31"/>
      <c r="H42" s="31"/>
      <c r="I42" s="31"/>
      <c r="J42" s="31"/>
      <c r="M42" s="128" t="s">
        <v>121</v>
      </c>
      <c r="N42" s="129"/>
      <c r="O42" s="109">
        <f>+J32</f>
        <v>807.67782881099993</v>
      </c>
      <c r="P42" s="107" t="s">
        <v>136</v>
      </c>
    </row>
    <row r="43" spans="1:19" ht="18">
      <c r="A43" s="93" t="s">
        <v>108</v>
      </c>
      <c r="B43" s="31"/>
      <c r="C43" s="31"/>
      <c r="D43" s="31"/>
      <c r="E43" s="31"/>
      <c r="F43" s="31"/>
      <c r="G43" s="31"/>
      <c r="H43" s="31"/>
      <c r="I43" s="31"/>
      <c r="J43" s="31"/>
    </row>
    <row r="44" spans="1:19" ht="18">
      <c r="A44" s="93" t="s">
        <v>91</v>
      </c>
      <c r="B44" s="31"/>
      <c r="C44" s="31"/>
      <c r="D44" s="31"/>
      <c r="E44" s="31"/>
      <c r="F44" s="31"/>
      <c r="G44" s="31"/>
      <c r="H44" s="31"/>
      <c r="I44" s="31"/>
      <c r="J44" s="31"/>
      <c r="M44" s="130" t="s">
        <v>123</v>
      </c>
      <c r="N44" s="130"/>
      <c r="O44" s="131">
        <f>+O41+O42+J14</f>
        <v>4740.5052788109997</v>
      </c>
      <c r="P44" s="133" t="s">
        <v>122</v>
      </c>
      <c r="Q44" s="134"/>
      <c r="S44" s="136"/>
    </row>
    <row r="45" spans="1:19" ht="18.75" customHeight="1">
      <c r="A45" s="93" t="s">
        <v>109</v>
      </c>
      <c r="B45" s="31"/>
      <c r="C45" s="31"/>
      <c r="D45" s="31"/>
      <c r="E45" s="31"/>
      <c r="F45" s="31"/>
      <c r="G45" s="31"/>
      <c r="H45" s="31"/>
      <c r="I45" s="31"/>
      <c r="J45" s="31"/>
      <c r="M45" s="130"/>
      <c r="N45" s="130"/>
      <c r="O45" s="132"/>
      <c r="P45" s="133"/>
      <c r="Q45" s="134"/>
      <c r="S45" s="136"/>
    </row>
    <row r="46" spans="1:19" ht="18.75" customHeight="1">
      <c r="A46" s="93" t="s">
        <v>110</v>
      </c>
      <c r="B46" s="31"/>
      <c r="C46" s="31"/>
      <c r="D46" s="31"/>
      <c r="E46" s="31"/>
      <c r="F46" s="31"/>
      <c r="G46" s="31"/>
      <c r="H46" s="31"/>
      <c r="I46" s="31"/>
      <c r="J46" s="31"/>
      <c r="S46" s="136"/>
    </row>
    <row r="47" spans="1:19" ht="18">
      <c r="A47" s="93" t="s">
        <v>111</v>
      </c>
      <c r="B47" s="31"/>
      <c r="C47" s="31"/>
      <c r="D47" s="31"/>
      <c r="E47" s="31"/>
      <c r="F47" s="31"/>
      <c r="G47" s="31"/>
      <c r="H47" s="31"/>
      <c r="I47" s="31"/>
      <c r="J47" s="31"/>
      <c r="S47" s="136"/>
    </row>
    <row r="48" spans="1:19" ht="18">
      <c r="A48" s="93" t="s">
        <v>107</v>
      </c>
      <c r="B48" s="31"/>
      <c r="C48" s="31"/>
      <c r="D48" s="31"/>
      <c r="E48" s="31"/>
      <c r="F48" s="31"/>
      <c r="G48" s="31"/>
      <c r="H48" s="31"/>
      <c r="I48" s="31"/>
      <c r="J48" s="31"/>
      <c r="S48" s="136"/>
    </row>
    <row r="49" spans="1:19">
      <c r="A49" s="31"/>
      <c r="B49" s="31"/>
      <c r="C49" s="31"/>
      <c r="D49" s="31"/>
      <c r="E49" s="31"/>
      <c r="F49" s="31"/>
      <c r="G49" s="31"/>
      <c r="H49" s="31"/>
      <c r="I49" s="31"/>
      <c r="J49" s="31"/>
      <c r="S49" s="136"/>
    </row>
    <row r="51" spans="1:19" ht="18">
      <c r="H51" s="32"/>
      <c r="I51" s="32"/>
      <c r="J51" s="32"/>
      <c r="K51" s="31"/>
    </row>
    <row r="52" spans="1:19" ht="18">
      <c r="H52" s="32"/>
      <c r="I52" s="32"/>
      <c r="J52" s="32"/>
      <c r="K52" s="31"/>
    </row>
    <row r="54" spans="1:19">
      <c r="H54" s="40"/>
      <c r="I54" s="40"/>
      <c r="J54" s="40"/>
    </row>
    <row r="56" spans="1:19" ht="21">
      <c r="A56" s="156" t="s">
        <v>45</v>
      </c>
      <c r="B56" s="156"/>
      <c r="C56" s="156"/>
      <c r="D56" s="156"/>
      <c r="E56" s="156"/>
      <c r="F56" s="156"/>
      <c r="G56" s="156"/>
      <c r="H56" s="156"/>
      <c r="I56" s="156"/>
      <c r="J56" s="156"/>
      <c r="K56" s="156"/>
    </row>
    <row r="60" spans="1:19">
      <c r="A60" s="51" t="s">
        <v>47</v>
      </c>
      <c r="B60" s="31"/>
      <c r="C60" s="31"/>
      <c r="D60" s="31"/>
    </row>
    <row r="61" spans="1:19">
      <c r="A61" s="51" t="s">
        <v>56</v>
      </c>
      <c r="B61" s="31"/>
      <c r="C61" s="31"/>
      <c r="D61" s="31"/>
    </row>
    <row r="62" spans="1:19">
      <c r="A62" s="31" t="s">
        <v>55</v>
      </c>
      <c r="C62" s="31"/>
      <c r="D62" s="31"/>
    </row>
    <row r="63" spans="1:19">
      <c r="A63" s="51" t="s">
        <v>48</v>
      </c>
      <c r="B63" s="31"/>
      <c r="C63" s="31"/>
      <c r="D63" s="31"/>
    </row>
    <row r="64" spans="1:19">
      <c r="A64" s="51" t="s">
        <v>58</v>
      </c>
      <c r="B64" s="31"/>
      <c r="C64" s="31"/>
      <c r="D64" s="31"/>
    </row>
    <row r="65" spans="1:10">
      <c r="A65" s="31" t="s">
        <v>57</v>
      </c>
      <c r="C65" s="31"/>
      <c r="D65" s="31"/>
    </row>
    <row r="66" spans="1:10">
      <c r="A66" s="51" t="s">
        <v>49</v>
      </c>
      <c r="B66" s="31"/>
      <c r="C66" s="31"/>
      <c r="D66" s="31"/>
    </row>
    <row r="67" spans="1:10">
      <c r="A67" s="51" t="s">
        <v>51</v>
      </c>
      <c r="B67" s="31"/>
      <c r="C67" s="31"/>
      <c r="D67" s="31"/>
    </row>
    <row r="68" spans="1:10">
      <c r="A68" s="51" t="s">
        <v>59</v>
      </c>
      <c r="B68" s="31"/>
      <c r="C68" s="31"/>
      <c r="D68" s="31"/>
    </row>
    <row r="69" spans="1:10">
      <c r="A69" s="51" t="s">
        <v>60</v>
      </c>
      <c r="B69" s="31"/>
      <c r="C69" s="31"/>
      <c r="D69" s="31"/>
    </row>
    <row r="70" spans="1:10">
      <c r="A70" s="51" t="s">
        <v>62</v>
      </c>
      <c r="B70" s="31"/>
      <c r="C70" s="31"/>
      <c r="D70" s="31"/>
    </row>
    <row r="71" spans="1:10">
      <c r="A71" s="51" t="s">
        <v>61</v>
      </c>
      <c r="B71" s="31"/>
      <c r="C71" s="31"/>
      <c r="D71" s="31"/>
    </row>
    <row r="72" spans="1:10">
      <c r="A72" s="51" t="s">
        <v>50</v>
      </c>
      <c r="B72" s="31"/>
      <c r="C72" s="31"/>
      <c r="D72" s="31"/>
    </row>
    <row r="73" spans="1:10">
      <c r="A73" s="51" t="s">
        <v>128</v>
      </c>
      <c r="B73" s="31"/>
      <c r="C73" s="31"/>
      <c r="D73" s="31"/>
    </row>
    <row r="77" spans="1:10">
      <c r="A77" s="51" t="s">
        <v>63</v>
      </c>
      <c r="B77" s="31"/>
      <c r="C77" s="31"/>
      <c r="D77" s="31"/>
      <c r="E77" s="31"/>
      <c r="F77" s="31"/>
      <c r="G77" s="31"/>
      <c r="H77" s="31"/>
      <c r="I77" s="31"/>
      <c r="J77" s="31"/>
    </row>
    <row r="78" spans="1:10">
      <c r="A78" s="111" t="s">
        <v>125</v>
      </c>
      <c r="B78" s="31"/>
      <c r="C78" s="31"/>
      <c r="D78" s="31"/>
      <c r="E78" s="31"/>
      <c r="F78" s="31"/>
      <c r="G78" s="31"/>
      <c r="H78" s="31"/>
      <c r="I78" s="31"/>
      <c r="J78" s="31"/>
    </row>
    <row r="79" spans="1:10">
      <c r="A79" s="51" t="s">
        <v>64</v>
      </c>
      <c r="B79" s="31"/>
      <c r="C79" s="31"/>
      <c r="D79" s="31"/>
      <c r="E79" s="31"/>
      <c r="F79" s="31"/>
      <c r="G79" s="31"/>
      <c r="H79" s="31"/>
      <c r="I79" s="31"/>
      <c r="J79" s="31"/>
    </row>
    <row r="80" spans="1:10">
      <c r="A80" s="110" t="s">
        <v>126</v>
      </c>
      <c r="C80" s="31"/>
      <c r="D80" s="31"/>
      <c r="E80" s="31"/>
      <c r="F80" s="31"/>
      <c r="G80" s="31"/>
      <c r="H80" s="31"/>
      <c r="I80" s="31"/>
      <c r="J80" s="31"/>
    </row>
    <row r="82" spans="1:10">
      <c r="A82" s="35" t="s">
        <v>52</v>
      </c>
      <c r="C82" s="31"/>
      <c r="D82" s="31"/>
      <c r="E82" s="31"/>
      <c r="F82" s="31"/>
      <c r="G82" s="31"/>
      <c r="H82" s="31"/>
      <c r="I82" s="31"/>
      <c r="J82" s="31"/>
    </row>
    <row r="83" spans="1:10">
      <c r="A83" s="51" t="s">
        <v>65</v>
      </c>
      <c r="B83" s="31"/>
      <c r="C83" s="31"/>
      <c r="D83" s="31"/>
      <c r="E83" s="31"/>
      <c r="F83" s="31"/>
      <c r="G83" s="31"/>
      <c r="H83" s="31"/>
      <c r="I83" s="31"/>
      <c r="J83" s="31"/>
    </row>
    <row r="85" spans="1:10">
      <c r="A85" s="51" t="s">
        <v>66</v>
      </c>
      <c r="B85" s="31"/>
      <c r="C85" s="31"/>
      <c r="D85" s="31"/>
      <c r="E85" s="31"/>
      <c r="F85" s="31"/>
      <c r="G85" s="31"/>
      <c r="H85" s="31"/>
      <c r="I85" s="31"/>
      <c r="J85" s="31"/>
    </row>
    <row r="87" spans="1:10">
      <c r="A87" s="51" t="s">
        <v>127</v>
      </c>
      <c r="B87" s="31"/>
      <c r="C87" s="31"/>
      <c r="D87" s="31"/>
      <c r="E87" s="31"/>
      <c r="F87" s="31"/>
      <c r="G87" s="31"/>
      <c r="H87" s="31"/>
      <c r="I87" s="31"/>
      <c r="J87" s="31"/>
    </row>
    <row r="91" spans="1:10">
      <c r="A91" s="51" t="s">
        <v>80</v>
      </c>
      <c r="B91" s="31"/>
      <c r="C91" s="31"/>
      <c r="D91" s="31"/>
    </row>
    <row r="92" spans="1:10">
      <c r="A92" s="51" t="s">
        <v>81</v>
      </c>
      <c r="B92" s="31"/>
      <c r="C92" s="31"/>
      <c r="D92" s="31"/>
    </row>
    <row r="93" spans="1:10">
      <c r="A93" s="41" t="s">
        <v>129</v>
      </c>
      <c r="B93" s="31"/>
      <c r="C93" s="31"/>
      <c r="D93" s="31"/>
    </row>
    <row r="94" spans="1:10">
      <c r="A94" s="41" t="s">
        <v>130</v>
      </c>
    </row>
    <row r="95" spans="1:10">
      <c r="A95" s="41" t="s">
        <v>131</v>
      </c>
    </row>
    <row r="100" spans="2:10">
      <c r="B100" s="41"/>
    </row>
    <row r="101" spans="2:10" ht="15.6">
      <c r="B101" s="42"/>
    </row>
    <row r="102" spans="2:10" ht="15.6">
      <c r="B102" s="42"/>
    </row>
    <row r="104" spans="2:10">
      <c r="C104" s="43"/>
      <c r="H104" s="43"/>
      <c r="I104" s="43"/>
      <c r="J104" s="43"/>
    </row>
    <row r="109" spans="2:10" ht="15.6">
      <c r="B109" s="44"/>
    </row>
  </sheetData>
  <sheetProtection selectLockedCells="1"/>
  <mergeCells count="35">
    <mergeCell ref="Y11:Y16"/>
    <mergeCell ref="E9:F9"/>
    <mergeCell ref="Q35:Q36"/>
    <mergeCell ref="N35:N36"/>
    <mergeCell ref="A56:K56"/>
    <mergeCell ref="J37:K37"/>
    <mergeCell ref="A15:C15"/>
    <mergeCell ref="A14:C14"/>
    <mergeCell ref="B37:D37"/>
    <mergeCell ref="F37:G37"/>
    <mergeCell ref="F36:G36"/>
    <mergeCell ref="A35:K35"/>
    <mergeCell ref="S44:S49"/>
    <mergeCell ref="F3:I3"/>
    <mergeCell ref="F4:I4"/>
    <mergeCell ref="D7:F7"/>
    <mergeCell ref="B36:D36"/>
    <mergeCell ref="I11:K11"/>
    <mergeCell ref="A29:E29"/>
    <mergeCell ref="A13:E13"/>
    <mergeCell ref="A19:E19"/>
    <mergeCell ref="M33:Q34"/>
    <mergeCell ref="I8:K8"/>
    <mergeCell ref="I9:K9"/>
    <mergeCell ref="J36:K36"/>
    <mergeCell ref="O35:O36"/>
    <mergeCell ref="P35:P36"/>
    <mergeCell ref="M35:M36"/>
    <mergeCell ref="P39:Q40"/>
    <mergeCell ref="M41:N41"/>
    <mergeCell ref="M42:N42"/>
    <mergeCell ref="M44:N45"/>
    <mergeCell ref="O44:O45"/>
    <mergeCell ref="P44:Q45"/>
    <mergeCell ref="M39:O40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1"/>
  <rowBreaks count="1" manualBreakCount="1">
    <brk id="49" max="10" man="1"/>
  </rowBreaks>
  <cellWatches>
    <cellWatch r="J16"/>
  </cellWatches>
  <ignoredErrors>
    <ignoredError sqref="I2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gdfg">
                <anchor moveWithCells="1" sizeWithCells="1">
                  <from>
                    <xdr:col>17</xdr:col>
                    <xdr:colOff>220980</xdr:colOff>
                    <xdr:row>2</xdr:row>
                    <xdr:rowOff>220980</xdr:rowOff>
                  </from>
                  <to>
                    <xdr:col>18</xdr:col>
                    <xdr:colOff>464820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V54"/>
  <sheetViews>
    <sheetView topLeftCell="A15" zoomScaleNormal="100" workbookViewId="0">
      <selection activeCell="C9" sqref="C9"/>
    </sheetView>
  </sheetViews>
  <sheetFormatPr baseColWidth="10" defaultRowHeight="14.4"/>
  <cols>
    <col min="1" max="1" width="2.88671875" style="1" customWidth="1"/>
    <col min="2" max="2" width="19.44140625" style="1" customWidth="1"/>
    <col min="3" max="3" width="11.33203125" style="2" customWidth="1"/>
    <col min="4" max="4" width="16.6640625" style="2" bestFit="1" customWidth="1"/>
    <col min="5" max="5" width="11.44140625" style="2"/>
    <col min="6" max="6" width="11.33203125" style="2" customWidth="1"/>
    <col min="7" max="8" width="11.44140625" style="2"/>
    <col min="9" max="9" width="13.44140625" style="2" bestFit="1" customWidth="1"/>
    <col min="10" max="10" width="11.44140625" style="2" customWidth="1"/>
    <col min="11" max="11" width="14" style="2" customWidth="1"/>
    <col min="12" max="12" width="11.88671875" style="2" bestFit="1" customWidth="1"/>
    <col min="13" max="47" width="11.44140625" style="1"/>
  </cols>
  <sheetData>
    <row r="1" spans="2:47" ht="15" thickBot="1">
      <c r="B1" s="171" t="s">
        <v>12</v>
      </c>
      <c r="C1" s="172"/>
      <c r="D1" s="172"/>
      <c r="E1" s="172"/>
      <c r="F1" s="172"/>
      <c r="G1" s="172"/>
      <c r="H1" s="172"/>
      <c r="I1" s="172"/>
      <c r="J1" s="172"/>
      <c r="K1" s="172"/>
      <c r="L1" s="173"/>
    </row>
    <row r="2" spans="2:47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</row>
    <row r="3" spans="2:47" s="1" customFormat="1" ht="23.1" customHeight="1">
      <c r="B3" s="43"/>
      <c r="C3" s="43"/>
      <c r="D3" s="115" t="s">
        <v>134</v>
      </c>
      <c r="E3" s="43"/>
      <c r="F3" s="43"/>
      <c r="G3" s="43"/>
      <c r="H3" s="43"/>
      <c r="I3" s="43"/>
      <c r="J3" s="43"/>
      <c r="K3" s="43"/>
      <c r="L3" s="43"/>
    </row>
    <row r="4" spans="2:47">
      <c r="B4" s="112" t="s">
        <v>132</v>
      </c>
      <c r="C4" s="123">
        <v>1</v>
      </c>
      <c r="D4" s="115">
        <f>COUNT(C4:C4)</f>
        <v>1</v>
      </c>
      <c r="E4" s="43"/>
      <c r="F4" s="43"/>
      <c r="G4" s="43"/>
      <c r="H4" s="43"/>
      <c r="I4" s="43"/>
      <c r="J4" s="43"/>
      <c r="K4" s="43"/>
      <c r="L4" s="43"/>
    </row>
    <row r="5" spans="2:47">
      <c r="B5" s="112" t="s">
        <v>30</v>
      </c>
      <c r="C5" s="123">
        <v>1</v>
      </c>
      <c r="D5" s="115">
        <f>SUM(C5:C5)</f>
        <v>1</v>
      </c>
    </row>
    <row r="6" spans="2:47">
      <c r="B6" s="112" t="s">
        <v>92</v>
      </c>
      <c r="C6" s="123">
        <v>370</v>
      </c>
      <c r="D6" s="115">
        <f>SUM(C6:C6)</f>
        <v>370</v>
      </c>
    </row>
    <row r="7" spans="2:47">
      <c r="B7" s="104" t="s">
        <v>70</v>
      </c>
      <c r="C7" s="123"/>
    </row>
    <row r="8" spans="2:47">
      <c r="B8" s="112" t="s">
        <v>133</v>
      </c>
      <c r="C8" s="123">
        <v>2.3795069999999998</v>
      </c>
      <c r="D8" s="115">
        <f>SUM(C8:C8)</f>
        <v>2.3795069999999998</v>
      </c>
    </row>
    <row r="9" spans="2:47" s="1" customFormat="1">
      <c r="B9" s="117"/>
      <c r="C9" s="2"/>
      <c r="D9" s="118"/>
      <c r="E9" s="2"/>
      <c r="F9" s="2"/>
      <c r="G9" s="2"/>
      <c r="H9" s="2"/>
      <c r="I9" s="2"/>
      <c r="J9" s="2"/>
      <c r="K9" s="2"/>
      <c r="L9" s="2"/>
    </row>
    <row r="10" spans="2:47">
      <c r="C10" s="116">
        <v>1</v>
      </c>
    </row>
    <row r="11" spans="2:47" ht="15" customHeight="1">
      <c r="B11" s="101" t="s">
        <v>87</v>
      </c>
      <c r="C11" s="101" t="s">
        <v>137</v>
      </c>
      <c r="D11" s="101" t="s">
        <v>8</v>
      </c>
    </row>
    <row r="12" spans="2:47" ht="15" hidden="1" customHeight="1">
      <c r="B12" s="5" t="s">
        <v>93</v>
      </c>
      <c r="C12" s="7"/>
      <c r="D12" s="99">
        <f>SUM(C12:C12)</f>
        <v>0</v>
      </c>
    </row>
    <row r="13" spans="2:47" ht="15" hidden="1" customHeight="1">
      <c r="B13" s="5" t="s">
        <v>92</v>
      </c>
      <c r="C13" s="97"/>
      <c r="D13" s="100">
        <f>SUM(C13:C13)</f>
        <v>0</v>
      </c>
    </row>
    <row r="14" spans="2:47" ht="15" hidden="1" customHeight="1">
      <c r="B14" s="5" t="s">
        <v>85</v>
      </c>
      <c r="C14" s="96"/>
      <c r="D14" s="98">
        <f>SUM(C14:C14)</f>
        <v>0</v>
      </c>
      <c r="E14" s="1"/>
      <c r="H14" s="1"/>
      <c r="I14" s="1"/>
      <c r="J14" s="1"/>
      <c r="K14" s="1"/>
      <c r="L14" s="1"/>
      <c r="AN14"/>
      <c r="AO14"/>
      <c r="AP14"/>
      <c r="AQ14"/>
      <c r="AR14"/>
      <c r="AS14"/>
      <c r="AT14"/>
      <c r="AU14"/>
    </row>
    <row r="15" spans="2:47" ht="15" customHeight="1">
      <c r="B15" s="95" t="s">
        <v>0</v>
      </c>
      <c r="C15" s="122">
        <v>3100</v>
      </c>
      <c r="D15" s="1"/>
      <c r="E15" s="3"/>
      <c r="H15" s="3"/>
      <c r="I15" s="3"/>
      <c r="J15" s="3"/>
      <c r="K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AN15"/>
      <c r="AO15"/>
      <c r="AP15"/>
      <c r="AQ15"/>
      <c r="AR15"/>
      <c r="AS15"/>
      <c r="AT15"/>
      <c r="AU15"/>
    </row>
    <row r="16" spans="2:47" ht="15" hidden="1" customHeight="1">
      <c r="B16" s="56" t="s">
        <v>67</v>
      </c>
      <c r="C16" s="101"/>
      <c r="D16" s="1"/>
      <c r="E16" s="3"/>
      <c r="G16" s="2" t="str">
        <f>'1'!E11</f>
        <v>NUEVO</v>
      </c>
      <c r="H16" s="3"/>
      <c r="I16" s="3"/>
      <c r="J16" s="3"/>
      <c r="K16" s="3"/>
      <c r="L16" s="50" t="s">
        <v>54</v>
      </c>
      <c r="M16" s="50" t="s">
        <v>54</v>
      </c>
      <c r="N16" s="86">
        <v>0.6</v>
      </c>
      <c r="O16" s="86">
        <v>0.4</v>
      </c>
      <c r="P16" s="3"/>
      <c r="Q16" s="3"/>
      <c r="R16" s="3"/>
      <c r="S16" s="3"/>
      <c r="T16" s="3"/>
      <c r="U16" s="3"/>
      <c r="V16" s="3"/>
      <c r="W16" s="3"/>
      <c r="AN16"/>
      <c r="AO16"/>
      <c r="AP16"/>
      <c r="AQ16"/>
      <c r="AR16"/>
      <c r="AS16"/>
      <c r="AT16"/>
      <c r="AU16"/>
    </row>
    <row r="17" spans="2:48">
      <c r="B17" s="28" t="s">
        <v>1</v>
      </c>
      <c r="C17" s="7">
        <v>1</v>
      </c>
      <c r="D17" s="99">
        <f>SUM(C17:C17)</f>
        <v>1</v>
      </c>
      <c r="E17" s="1"/>
      <c r="G17" s="1"/>
      <c r="H17" s="1"/>
      <c r="I17" s="1"/>
      <c r="J17" s="1"/>
      <c r="K17" s="7" t="str">
        <f>'1'!R10</f>
        <v>NUEVO</v>
      </c>
      <c r="L17" s="48">
        <f>'1'!S10</f>
        <v>832.82744999999989</v>
      </c>
      <c r="M17" s="84">
        <f>'1'!T10</f>
        <v>350</v>
      </c>
      <c r="N17" s="3">
        <f>$N$16*L17</f>
        <v>499.69646999999992</v>
      </c>
      <c r="AN17"/>
      <c r="AO17"/>
      <c r="AP17"/>
      <c r="AQ17"/>
      <c r="AR17"/>
      <c r="AS17"/>
      <c r="AT17"/>
      <c r="AU17"/>
    </row>
    <row r="18" spans="2:48">
      <c r="B18" s="17" t="s">
        <v>2</v>
      </c>
      <c r="C18" s="18">
        <f>C15*C17</f>
        <v>3100</v>
      </c>
      <c r="D18" s="18">
        <f>SUM(C18:C18)</f>
        <v>3100</v>
      </c>
      <c r="E18" s="1"/>
      <c r="J18" s="1"/>
      <c r="K18" s="7" t="str">
        <f>'1'!R11</f>
        <v>ANTIGUO</v>
      </c>
      <c r="L18" s="48">
        <f>'1'!S11</f>
        <v>773.33977499999992</v>
      </c>
      <c r="M18" s="84">
        <f>'1'!T11</f>
        <v>325</v>
      </c>
      <c r="N18" s="3">
        <f t="shared" ref="N18" si="0">$N$16*L18</f>
        <v>464.00386499999991</v>
      </c>
      <c r="AN18"/>
      <c r="AO18"/>
      <c r="AP18"/>
      <c r="AQ18"/>
      <c r="AR18"/>
      <c r="AS18"/>
      <c r="AT18"/>
      <c r="AU18"/>
    </row>
    <row r="19" spans="2:48" ht="16.5" hidden="1" customHeight="1">
      <c r="B19" s="57" t="s">
        <v>2</v>
      </c>
      <c r="C19" s="58">
        <f>(MAX(C15:C16))*C17</f>
        <v>3100</v>
      </c>
      <c r="D19" s="58">
        <f>SUM(C19:C19)</f>
        <v>3100</v>
      </c>
      <c r="E19" s="1"/>
      <c r="J19" s="1"/>
      <c r="K19" s="7" t="str">
        <f>'1'!R12</f>
        <v>MANUAL</v>
      </c>
      <c r="L19" s="48">
        <f>'1'!S12</f>
        <v>0</v>
      </c>
      <c r="M19" s="84">
        <f>'1'!T12</f>
        <v>0</v>
      </c>
      <c r="N19" s="3">
        <f>$N$16*L19</f>
        <v>0</v>
      </c>
      <c r="AN19"/>
      <c r="AO19"/>
      <c r="AP19"/>
      <c r="AQ19"/>
      <c r="AR19"/>
      <c r="AS19"/>
      <c r="AT19"/>
      <c r="AU19"/>
    </row>
    <row r="20" spans="2:48" ht="15" customHeight="1">
      <c r="B20" s="5" t="s">
        <v>3</v>
      </c>
      <c r="C20" s="8">
        <f>C18/$D$18</f>
        <v>1</v>
      </c>
      <c r="D20" s="7" t="s">
        <v>8</v>
      </c>
      <c r="E20" s="30"/>
      <c r="J20" s="1"/>
      <c r="K20" s="7" t="str">
        <f>'1'!R13</f>
        <v>SOCIO</v>
      </c>
      <c r="L20" s="48">
        <f>'1'!S13</f>
        <v>594.8767499999999</v>
      </c>
      <c r="M20" s="84">
        <f>'1'!T13</f>
        <v>249.99999999999997</v>
      </c>
      <c r="N20" s="3">
        <f>$N$16*L20</f>
        <v>356.92604999999992</v>
      </c>
      <c r="AN20"/>
      <c r="AO20"/>
      <c r="AP20"/>
      <c r="AQ20"/>
      <c r="AR20"/>
      <c r="AS20"/>
      <c r="AT20"/>
      <c r="AU20"/>
    </row>
    <row r="21" spans="2:48">
      <c r="B21" s="28" t="s">
        <v>4</v>
      </c>
      <c r="C21" s="6">
        <f>$D$21*C20</f>
        <v>499.69646999999992</v>
      </c>
      <c r="D21" s="29">
        <f>IF(L19=0,IF('1'!E11="NUEVO",'2'!L17*60%,IF('1'!E11="ANTIGUO",'2'!L18*60%,IF('1'!E11="SOCIO",60%*(250*'1'!I11),IF('1'!E11="PILOTO",60%*(250*'1'!I11),IF('2'!L19&gt;0,60%*(250*'1'!I11),IF('1'!E11="MANUAL",60%*(IF('1'!T12&gt;250,('1'!T12*'1'!I11),IF('1'!T12&lt;=250,(250*'1'!I11)))))))))),IF(M19&lt;=250,(250*'1'!I11)*60%,L19*60%))</f>
        <v>499.69646999999992</v>
      </c>
      <c r="E21" s="86"/>
      <c r="F21" s="175"/>
      <c r="G21" s="49"/>
      <c r="H21" s="1"/>
      <c r="I21" s="1"/>
      <c r="J21" s="1"/>
      <c r="K21" s="7" t="str">
        <f>'1'!R14</f>
        <v>PILOTO</v>
      </c>
      <c r="L21" s="48">
        <f>'1'!S14</f>
        <v>594.8767499999999</v>
      </c>
      <c r="M21" s="84">
        <f>'1'!T14</f>
        <v>249.99999999999997</v>
      </c>
      <c r="N21" s="3">
        <f>$N$16*L21</f>
        <v>356.92604999999992</v>
      </c>
      <c r="AN21"/>
      <c r="AO21"/>
      <c r="AP21"/>
      <c r="AQ21"/>
      <c r="AR21"/>
      <c r="AS21"/>
      <c r="AT21"/>
      <c r="AU21"/>
    </row>
    <row r="22" spans="2:48">
      <c r="B22" s="17" t="s">
        <v>5</v>
      </c>
      <c r="C22" s="18">
        <f>C18+C21</f>
        <v>3599.6964699999999</v>
      </c>
      <c r="D22" s="18">
        <f>SUM(C22:C22)</f>
        <v>3599.6964699999999</v>
      </c>
      <c r="E22" s="1"/>
      <c r="F22" s="175"/>
      <c r="G22" s="49"/>
      <c r="H22" s="1"/>
      <c r="I22" s="83" t="s">
        <v>84</v>
      </c>
      <c r="J22" s="83"/>
      <c r="K22" s="50">
        <f>250*60%</f>
        <v>150</v>
      </c>
      <c r="L22" s="50">
        <f>250*40%</f>
        <v>100</v>
      </c>
      <c r="M22" s="84"/>
      <c r="N22" s="3"/>
      <c r="AL22"/>
      <c r="AM22"/>
      <c r="AN22"/>
      <c r="AO22"/>
      <c r="AP22"/>
      <c r="AQ22"/>
      <c r="AR22"/>
      <c r="AS22"/>
      <c r="AT22"/>
      <c r="AU22"/>
    </row>
    <row r="23" spans="2:48" ht="14.25" hidden="1" customHeight="1">
      <c r="B23" s="57" t="s">
        <v>68</v>
      </c>
      <c r="C23" s="58">
        <f>C19+C21</f>
        <v>3599.6964699999999</v>
      </c>
      <c r="D23" s="58">
        <f>SUM(C23:C23)</f>
        <v>3599.6964699999999</v>
      </c>
      <c r="E23" s="1"/>
      <c r="G23" s="49"/>
      <c r="H23" s="1"/>
      <c r="I23" s="30"/>
      <c r="J23" s="1"/>
      <c r="AN23"/>
      <c r="AO23"/>
      <c r="AP23"/>
      <c r="AQ23"/>
      <c r="AR23"/>
      <c r="AS23"/>
      <c r="AT23"/>
      <c r="AU23"/>
    </row>
    <row r="24" spans="2:48" ht="14.25" customHeight="1">
      <c r="B24" s="28" t="s">
        <v>6</v>
      </c>
      <c r="C24" s="6">
        <f>$D$24*C20</f>
        <v>50</v>
      </c>
      <c r="D24" s="29">
        <f>IF(D18&lt;5000,50,100)</f>
        <v>50</v>
      </c>
      <c r="E24" s="1"/>
      <c r="G24" s="49"/>
      <c r="H24" s="1"/>
      <c r="I24" s="1"/>
      <c r="J24" s="1"/>
      <c r="K24" s="1"/>
      <c r="L24" s="1"/>
      <c r="AN24"/>
      <c r="AO24"/>
      <c r="AP24"/>
      <c r="AQ24"/>
      <c r="AR24"/>
      <c r="AS24"/>
      <c r="AT24"/>
      <c r="AU24"/>
    </row>
    <row r="25" spans="2:48">
      <c r="B25" s="17" t="s">
        <v>7</v>
      </c>
      <c r="C25" s="18">
        <f t="shared" ref="C25" si="1">C22+C24</f>
        <v>3649.6964699999999</v>
      </c>
      <c r="D25" s="18">
        <f>SUM(C25:C25)</f>
        <v>3649.6964699999999</v>
      </c>
      <c r="E25" s="1"/>
      <c r="G25" s="49"/>
      <c r="H25" s="1"/>
      <c r="I25" s="1"/>
      <c r="J25" s="1"/>
      <c r="K25" s="1"/>
      <c r="L25" s="1"/>
      <c r="AN25"/>
      <c r="AO25"/>
      <c r="AP25"/>
      <c r="AQ25"/>
      <c r="AR25"/>
      <c r="AS25"/>
      <c r="AT25"/>
      <c r="AU25"/>
    </row>
    <row r="26" spans="2:48" ht="18.75" hidden="1" customHeight="1">
      <c r="B26" s="57" t="s">
        <v>69</v>
      </c>
      <c r="C26" s="58">
        <f>C23+C24</f>
        <v>3649.6964699999999</v>
      </c>
      <c r="D26" s="58">
        <f>SUM(C26:C26)</f>
        <v>3649.6964699999999</v>
      </c>
      <c r="G26" s="49"/>
    </row>
    <row r="27" spans="2:48">
      <c r="G27" s="49"/>
    </row>
    <row r="28" spans="2:48">
      <c r="B28" s="177" t="s">
        <v>11</v>
      </c>
      <c r="C28" s="177"/>
      <c r="D28" s="177"/>
      <c r="E28" s="177"/>
      <c r="F28" s="177"/>
      <c r="G28" s="177"/>
      <c r="H28" s="177"/>
      <c r="I28" s="177"/>
      <c r="J28" s="177"/>
      <c r="K28" s="177"/>
      <c r="L28" s="177"/>
    </row>
    <row r="30" spans="2:48">
      <c r="C30" s="52"/>
      <c r="M30" s="2"/>
      <c r="AV30" s="1"/>
    </row>
    <row r="31" spans="2:48">
      <c r="B31" s="53" t="s">
        <v>40</v>
      </c>
      <c r="C31" s="54">
        <f>C17*C30</f>
        <v>0</v>
      </c>
      <c r="D31" s="54">
        <f>SUM(C31:C31)</f>
        <v>0</v>
      </c>
      <c r="M31" s="2"/>
      <c r="AV31" s="1"/>
    </row>
    <row r="33" spans="1:47">
      <c r="C33" s="11">
        <v>0</v>
      </c>
      <c r="D33" s="9" t="s">
        <v>8</v>
      </c>
      <c r="E33" s="1"/>
      <c r="F33" s="1"/>
      <c r="G33" s="1"/>
      <c r="H33" s="176"/>
      <c r="I33" s="176"/>
      <c r="J33" s="1"/>
      <c r="K33" s="1"/>
      <c r="L33" s="1"/>
      <c r="AN33"/>
      <c r="AO33"/>
      <c r="AP33"/>
      <c r="AQ33"/>
      <c r="AR33"/>
      <c r="AS33"/>
      <c r="AT33"/>
      <c r="AU33"/>
    </row>
    <row r="34" spans="1:47">
      <c r="B34" s="9" t="s">
        <v>9</v>
      </c>
      <c r="C34" s="6">
        <f>MAX(C25:C26)*C33</f>
        <v>0</v>
      </c>
      <c r="D34" s="10">
        <f>SUM(C34:C34)</f>
        <v>0</v>
      </c>
      <c r="E34" s="1"/>
      <c r="F34" s="1"/>
      <c r="G34" s="1"/>
      <c r="H34" s="176"/>
      <c r="I34" s="176"/>
      <c r="J34" s="1"/>
      <c r="K34" s="1"/>
      <c r="L34" s="1"/>
      <c r="AN34"/>
      <c r="AO34"/>
      <c r="AP34"/>
      <c r="AQ34"/>
      <c r="AR34"/>
      <c r="AS34"/>
      <c r="AT34"/>
      <c r="AU34"/>
    </row>
    <row r="35" spans="1:47" s="14" customFormat="1">
      <c r="A35" s="12"/>
      <c r="B35" s="16" t="s">
        <v>13</v>
      </c>
      <c r="C35" s="13">
        <f>((MAX(C25:C26))+C34)*16%</f>
        <v>583.95143519999999</v>
      </c>
      <c r="D35" s="10">
        <f>SUM(C35:C35)</f>
        <v>583.95143519999999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</row>
    <row r="36" spans="1:47" s="14" customFormat="1">
      <c r="A36" s="12"/>
      <c r="B36" s="16" t="s">
        <v>14</v>
      </c>
      <c r="C36" s="15">
        <f t="shared" ref="C36" si="2">((MAX(C25:C26))+C34)*2%</f>
        <v>72.993929399999999</v>
      </c>
      <c r="D36" s="10">
        <f>SUM(C36:C36)</f>
        <v>72.993929399999999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</row>
    <row r="37" spans="1:47" s="14" customFormat="1">
      <c r="A37" s="12"/>
      <c r="B37" s="16" t="s">
        <v>10</v>
      </c>
      <c r="C37" s="15">
        <f t="shared" ref="C37" si="3">(C25+C34+C35+C36)*3.5%</f>
        <v>150.73246421099998</v>
      </c>
      <c r="D37" s="10">
        <f>SUM(C37:C37)</f>
        <v>150.73246421099998</v>
      </c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</row>
    <row r="38" spans="1:47">
      <c r="B38" s="19" t="s">
        <v>8</v>
      </c>
      <c r="C38" s="20">
        <f t="shared" ref="C38" si="4">SUM(C34:C37)</f>
        <v>807.67782881099993</v>
      </c>
      <c r="D38" s="18">
        <f>SUM(C38:C38)</f>
        <v>807.67782881099993</v>
      </c>
      <c r="E38" s="1"/>
      <c r="F38" s="1"/>
      <c r="G38" s="1"/>
      <c r="H38" s="1"/>
      <c r="I38" s="1"/>
      <c r="J38" s="1"/>
      <c r="K38" s="1"/>
      <c r="L38" s="1"/>
      <c r="AN38"/>
      <c r="AO38"/>
      <c r="AP38"/>
      <c r="AQ38"/>
      <c r="AR38"/>
      <c r="AS38"/>
      <c r="AT38"/>
      <c r="AU38"/>
    </row>
    <row r="39" spans="1:47">
      <c r="J39" s="1"/>
      <c r="K39" s="3"/>
      <c r="L39" s="1"/>
      <c r="AS39"/>
      <c r="AT39"/>
      <c r="AU39"/>
    </row>
    <row r="40" spans="1:47">
      <c r="O40" s="24" t="s">
        <v>21</v>
      </c>
      <c r="P40" s="24">
        <v>3.7</v>
      </c>
    </row>
    <row r="42" spans="1:47">
      <c r="B42" s="174" t="s">
        <v>16</v>
      </c>
      <c r="C42" s="174"/>
      <c r="D42" s="174"/>
      <c r="E42" s="174"/>
      <c r="F42" s="174"/>
      <c r="G42" s="174"/>
      <c r="H42" s="174"/>
      <c r="I42" s="174"/>
      <c r="J42" s="174"/>
      <c r="K42" s="174"/>
      <c r="L42" s="174"/>
    </row>
    <row r="44" spans="1:47">
      <c r="C44" s="21">
        <f>+C20</f>
        <v>1</v>
      </c>
      <c r="D44" s="7" t="s">
        <v>8</v>
      </c>
      <c r="E44" s="1"/>
      <c r="F44" s="1"/>
      <c r="G44" s="1"/>
      <c r="H44" s="1"/>
      <c r="I44" s="1"/>
      <c r="J44" s="1"/>
      <c r="K44" s="1"/>
      <c r="L44" s="1"/>
      <c r="AN44"/>
      <c r="AO44"/>
      <c r="AP44"/>
      <c r="AQ44"/>
      <c r="AR44"/>
      <c r="AS44"/>
      <c r="AT44"/>
      <c r="AU44"/>
    </row>
    <row r="45" spans="1:47">
      <c r="B45" s="28" t="s">
        <v>15</v>
      </c>
      <c r="C45" s="23">
        <f>$D$45*C44</f>
        <v>333.13097999999997</v>
      </c>
      <c r="D45" s="29">
        <f>IF(L19=0,IF('1'!E11="NUEVO",'2'!L17*40%,IF('1'!E11="ANTIGUO",'2'!L18*40%,IF('1'!E11="SOCIO",40%*(250*'1'!I11),IF('1'!E11="PILOTO",40%*(250*'1'!I11),IF('2'!L19&gt;0,40%*(250*'1'!I11),IF('1'!E11="MANUAL",40%*(IF('1'!T12&gt;250,('1'!T12*'1'!I11),IF('1'!T12&lt;=250,(250*'1'!I11)))))))))),IF(M19&lt;=250,(250*'1'!I11)*40%,L19*40%))</f>
        <v>333.13097999999997</v>
      </c>
      <c r="E45" s="86"/>
      <c r="F45" s="1"/>
      <c r="G45" s="1"/>
      <c r="H45" s="1"/>
      <c r="I45" s="1"/>
      <c r="J45" s="1"/>
      <c r="K45" s="1"/>
      <c r="L45" s="1"/>
      <c r="AN45"/>
      <c r="AO45"/>
      <c r="AP45"/>
      <c r="AQ45"/>
      <c r="AR45"/>
      <c r="AS45"/>
      <c r="AT45"/>
      <c r="AU45"/>
    </row>
    <row r="46" spans="1:47" s="1" customFormat="1">
      <c r="C46" s="4"/>
      <c r="D46" s="4"/>
      <c r="E46" s="4"/>
      <c r="F46" s="4"/>
      <c r="G46" s="4"/>
    </row>
    <row r="48" spans="1:47">
      <c r="B48" s="102" t="s">
        <v>17</v>
      </c>
      <c r="C48" s="102"/>
      <c r="D48" s="102"/>
      <c r="E48" s="102"/>
      <c r="F48" s="102"/>
      <c r="G48" s="102"/>
      <c r="H48" s="102"/>
      <c r="I48" s="102"/>
      <c r="J48" s="102"/>
      <c r="K48" s="102"/>
      <c r="L48" s="102"/>
    </row>
    <row r="50" spans="2:47">
      <c r="B50" s="27" t="s">
        <v>15</v>
      </c>
      <c r="C50" s="7" t="str">
        <f t="shared" ref="C50" si="5">C11</f>
        <v>EXPENDABLE MACHINE FOR DRINKS &amp; FOOD</v>
      </c>
      <c r="E50" s="1"/>
      <c r="F50" s="1"/>
      <c r="G50" s="1"/>
      <c r="H50" s="1"/>
      <c r="I50" s="1"/>
      <c r="J50" s="1"/>
      <c r="K50" s="1"/>
      <c r="L50" s="1"/>
      <c r="AN50"/>
      <c r="AO50"/>
      <c r="AP50"/>
      <c r="AQ50"/>
      <c r="AR50"/>
      <c r="AS50"/>
      <c r="AT50"/>
      <c r="AU50"/>
    </row>
    <row r="51" spans="2:47">
      <c r="B51" s="28" t="s">
        <v>19</v>
      </c>
      <c r="C51" s="23">
        <f>C18+C38+C31+'2'!C20*('1'!$J$31)</f>
        <v>4740.5052788109997</v>
      </c>
      <c r="D51" s="23">
        <f>SUM(C51:C51)</f>
        <v>4740.5052788109997</v>
      </c>
      <c r="E51" s="1"/>
      <c r="F51" s="1"/>
      <c r="G51" s="1"/>
      <c r="H51" s="1"/>
      <c r="I51" s="1"/>
      <c r="J51" s="1"/>
      <c r="K51" s="1"/>
      <c r="L51" s="1"/>
      <c r="AN51"/>
      <c r="AO51"/>
      <c r="AP51"/>
      <c r="AQ51"/>
      <c r="AR51"/>
      <c r="AS51"/>
      <c r="AT51"/>
      <c r="AU51"/>
    </row>
    <row r="52" spans="2:47">
      <c r="B52" s="5" t="s">
        <v>1</v>
      </c>
      <c r="C52" s="25">
        <f>+C17</f>
        <v>1</v>
      </c>
      <c r="E52" s="1"/>
      <c r="F52" s="1"/>
      <c r="G52" s="1"/>
      <c r="H52" s="1"/>
      <c r="I52" s="1"/>
      <c r="J52" s="1"/>
      <c r="K52" s="1"/>
      <c r="L52" s="1"/>
      <c r="AN52"/>
      <c r="AO52"/>
      <c r="AP52"/>
      <c r="AQ52"/>
      <c r="AR52"/>
      <c r="AS52"/>
      <c r="AT52"/>
      <c r="AU52"/>
    </row>
    <row r="53" spans="2:47">
      <c r="B53" s="22" t="s">
        <v>18</v>
      </c>
      <c r="C53" s="23">
        <f t="shared" ref="C53" si="6">C51/C52</f>
        <v>4740.5052788109997</v>
      </c>
      <c r="E53" s="1"/>
      <c r="F53" s="1"/>
      <c r="G53" s="1"/>
      <c r="H53" s="1"/>
      <c r="I53" s="1"/>
      <c r="J53" s="1"/>
      <c r="K53" s="1"/>
      <c r="L53" s="1"/>
      <c r="AN53"/>
      <c r="AO53"/>
      <c r="AP53"/>
      <c r="AQ53"/>
      <c r="AR53"/>
      <c r="AS53"/>
      <c r="AT53"/>
      <c r="AU53"/>
    </row>
    <row r="54" spans="2:47">
      <c r="B54" s="5" t="s">
        <v>20</v>
      </c>
      <c r="C54" s="26">
        <f>C53*$P$40</f>
        <v>17539.8695316007</v>
      </c>
      <c r="E54" s="1"/>
      <c r="F54" s="1"/>
      <c r="G54" s="1"/>
      <c r="H54" s="1"/>
      <c r="I54" s="1"/>
      <c r="J54" s="1"/>
      <c r="K54" s="1"/>
      <c r="L54" s="1"/>
      <c r="AN54"/>
      <c r="AO54"/>
      <c r="AP54"/>
      <c r="AQ54"/>
      <c r="AR54"/>
      <c r="AS54"/>
      <c r="AT54"/>
      <c r="AU54"/>
    </row>
  </sheetData>
  <mergeCells count="5">
    <mergeCell ref="B1:L1"/>
    <mergeCell ref="B42:L42"/>
    <mergeCell ref="F21:F22"/>
    <mergeCell ref="H33:I34"/>
    <mergeCell ref="B28:L28"/>
  </mergeCells>
  <phoneticPr fontId="19" type="noConversion"/>
  <pageMargins left="0.7" right="0.7" top="0.75" bottom="0.75" header="0.3" footer="0.3"/>
  <pageSetup orientation="portrait" r:id="rId1"/>
  <cellWatches>
    <cellWatch r="D38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cp:lastPrinted>2025-10-20T15:33:42Z</cp:lastPrinted>
  <dcterms:created xsi:type="dcterms:W3CDTF">2022-02-19T20:43:21Z</dcterms:created>
  <dcterms:modified xsi:type="dcterms:W3CDTF">2025-10-24T00:02:03Z</dcterms:modified>
</cp:coreProperties>
</file>