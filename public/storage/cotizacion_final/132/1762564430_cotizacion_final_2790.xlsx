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 BUSINESS\Desktop\DANITZA\CONSOLIDADO 2025\3. CONSOLIDADOS\CONSOLIDADO #16-2025\"/>
    </mc:Choice>
  </mc:AlternateContent>
  <xr:revisionPtr revIDLastSave="0" documentId="8_{813A7B9F-52F4-451C-8B69-F6B4B6339C8E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1" sheetId="1" r:id="rId1"/>
    <sheet name="2" sheetId="2" r:id="rId2"/>
  </sheets>
  <definedNames>
    <definedName name="_xlnm.Print_Area" localSheetId="0">'1'!$A$1:$M$112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2" l="1"/>
  <c r="Q27" i="2"/>
  <c r="Q26" i="2"/>
  <c r="Q14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P11" i="2"/>
  <c r="O11" i="2"/>
  <c r="N11" i="2"/>
  <c r="M11" i="2"/>
  <c r="M13" i="2" s="1"/>
  <c r="L11" i="2"/>
  <c r="K11" i="2"/>
  <c r="K13" i="2" s="1"/>
  <c r="J11" i="2"/>
  <c r="I11" i="2"/>
  <c r="H11" i="2"/>
  <c r="G11" i="2"/>
  <c r="F11" i="2"/>
  <c r="E11" i="2"/>
  <c r="D11" i="2"/>
  <c r="C11" i="2"/>
  <c r="Q11" i="2" s="1"/>
  <c r="Q10" i="2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F50" i="1" s="1"/>
  <c r="J20" i="1"/>
  <c r="J11" i="1"/>
  <c r="K30" i="1" s="1"/>
  <c r="F9" i="1"/>
  <c r="J8" i="1"/>
  <c r="K40" i="2" l="1"/>
  <c r="F13" i="2"/>
  <c r="M14" i="2"/>
  <c r="M40" i="2"/>
  <c r="M17" i="2"/>
  <c r="L13" i="2"/>
  <c r="L17" i="2"/>
  <c r="J13" i="2"/>
  <c r="K17" i="2"/>
  <c r="H17" i="2"/>
  <c r="G17" i="2"/>
  <c r="K14" i="1"/>
  <c r="F17" i="2"/>
  <c r="E13" i="2"/>
  <c r="I13" i="2"/>
  <c r="H13" i="2"/>
  <c r="E17" i="2"/>
  <c r="O17" i="2"/>
  <c r="I17" i="2"/>
  <c r="P17" i="2"/>
  <c r="D17" i="2"/>
  <c r="C17" i="2"/>
  <c r="O13" i="2"/>
  <c r="D13" i="2"/>
  <c r="P13" i="2"/>
  <c r="G13" i="2"/>
  <c r="K14" i="2"/>
  <c r="K16" i="2" s="1"/>
  <c r="K19" i="2" s="1"/>
  <c r="N13" i="2"/>
  <c r="N17" i="2" s="1"/>
  <c r="C13" i="2"/>
  <c r="Q12" i="2"/>
  <c r="K15" i="2"/>
  <c r="J14" i="2" l="1"/>
  <c r="J40" i="2"/>
  <c r="L40" i="2"/>
  <c r="L14" i="2"/>
  <c r="J17" i="2"/>
  <c r="Q17" i="2" s="1"/>
  <c r="K15" i="1" s="1"/>
  <c r="K16" i="1" s="1"/>
  <c r="N14" i="2"/>
  <c r="N40" i="2"/>
  <c r="I14" i="2"/>
  <c r="I40" i="2"/>
  <c r="G14" i="2"/>
  <c r="G40" i="2"/>
  <c r="P14" i="2"/>
  <c r="P40" i="2"/>
  <c r="E14" i="2"/>
  <c r="E40" i="2"/>
  <c r="M16" i="2"/>
  <c r="M19" i="2" s="1"/>
  <c r="M15" i="2"/>
  <c r="K18" i="2"/>
  <c r="K28" i="2" s="1"/>
  <c r="C14" i="2"/>
  <c r="C40" i="2"/>
  <c r="H40" i="2"/>
  <c r="H14" i="2"/>
  <c r="D14" i="2"/>
  <c r="D40" i="2"/>
  <c r="F40" i="2"/>
  <c r="F14" i="2"/>
  <c r="O14" i="2"/>
  <c r="O40" i="2"/>
  <c r="K29" i="1"/>
  <c r="K29" i="2" l="1"/>
  <c r="K30" i="2"/>
  <c r="M18" i="2"/>
  <c r="M28" i="2" s="1"/>
  <c r="O16" i="2"/>
  <c r="O19" i="2" s="1"/>
  <c r="O15" i="2"/>
  <c r="G15" i="2"/>
  <c r="G16" i="2"/>
  <c r="G19" i="2" s="1"/>
  <c r="C15" i="2"/>
  <c r="C16" i="2"/>
  <c r="I16" i="2"/>
  <c r="I19" i="2" s="1"/>
  <c r="I15" i="2"/>
  <c r="N16" i="2"/>
  <c r="N19" i="2" s="1"/>
  <c r="N15" i="2"/>
  <c r="L15" i="2"/>
  <c r="L16" i="2"/>
  <c r="L19" i="2" s="1"/>
  <c r="F15" i="2"/>
  <c r="F16" i="2"/>
  <c r="F19" i="2" s="1"/>
  <c r="E15" i="2"/>
  <c r="E16" i="2"/>
  <c r="E19" i="2" s="1"/>
  <c r="J16" i="2"/>
  <c r="J19" i="2" s="1"/>
  <c r="J15" i="2"/>
  <c r="D16" i="2"/>
  <c r="D19" i="2" s="1"/>
  <c r="D15" i="2"/>
  <c r="P16" i="2"/>
  <c r="P19" i="2" s="1"/>
  <c r="P15" i="2"/>
  <c r="H15" i="2"/>
  <c r="H16" i="2"/>
  <c r="H19" i="2" s="1"/>
  <c r="M30" i="2" l="1"/>
  <c r="M29" i="2"/>
  <c r="E18" i="2"/>
  <c r="E28" i="2" s="1"/>
  <c r="O18" i="2"/>
  <c r="O28" i="2" s="1"/>
  <c r="L28" i="2"/>
  <c r="P18" i="2"/>
  <c r="P28" i="2" s="1"/>
  <c r="N18" i="2"/>
  <c r="N28" i="2"/>
  <c r="K31" i="2"/>
  <c r="K32" i="2" s="1"/>
  <c r="K44" i="2" s="1"/>
  <c r="G18" i="2"/>
  <c r="G28" i="2" s="1"/>
  <c r="F18" i="2"/>
  <c r="F28" i="2" s="1"/>
  <c r="H28" i="2"/>
  <c r="H18" i="2"/>
  <c r="L18" i="2"/>
  <c r="Q16" i="2"/>
  <c r="C19" i="2"/>
  <c r="D18" i="2"/>
  <c r="D28" i="2" s="1"/>
  <c r="I18" i="2"/>
  <c r="I28" i="2" s="1"/>
  <c r="J18" i="2"/>
  <c r="J28" i="2"/>
  <c r="Q15" i="2"/>
  <c r="C18" i="2"/>
  <c r="G30" i="2" l="1"/>
  <c r="G29" i="2"/>
  <c r="G31" i="2" s="1"/>
  <c r="F30" i="2"/>
  <c r="F29" i="2"/>
  <c r="F31" i="2" s="1"/>
  <c r="F32" i="2" s="1"/>
  <c r="F44" i="2" s="1"/>
  <c r="K46" i="2"/>
  <c r="J44" i="1"/>
  <c r="D29" i="2"/>
  <c r="D30" i="2"/>
  <c r="O30" i="2"/>
  <c r="O29" i="2"/>
  <c r="O31" i="2" s="1"/>
  <c r="E30" i="2"/>
  <c r="E29" i="2"/>
  <c r="J29" i="2"/>
  <c r="J30" i="2"/>
  <c r="Q18" i="2"/>
  <c r="C28" i="2"/>
  <c r="Q19" i="2"/>
  <c r="I30" i="2"/>
  <c r="I29" i="2"/>
  <c r="I31" i="2"/>
  <c r="I32" i="2" s="1"/>
  <c r="I44" i="2" s="1"/>
  <c r="M31" i="2"/>
  <c r="M32" i="2" s="1"/>
  <c r="M44" i="2" s="1"/>
  <c r="H30" i="2"/>
  <c r="H29" i="2"/>
  <c r="L29" i="2"/>
  <c r="L30" i="2"/>
  <c r="P29" i="2"/>
  <c r="P30" i="2"/>
  <c r="N30" i="2"/>
  <c r="N29" i="2"/>
  <c r="N31" i="2" s="1"/>
  <c r="N32" i="2" s="1"/>
  <c r="N44" i="2" s="1"/>
  <c r="G32" i="2" l="1"/>
  <c r="G44" i="2" s="1"/>
  <c r="P31" i="2"/>
  <c r="P32" i="2" s="1"/>
  <c r="P44" i="2" s="1"/>
  <c r="E31" i="2"/>
  <c r="E32" i="2" s="1"/>
  <c r="E44" i="2" s="1"/>
  <c r="E46" i="2" s="1"/>
  <c r="J38" i="1"/>
  <c r="F46" i="2"/>
  <c r="J39" i="1"/>
  <c r="P46" i="2"/>
  <c r="J49" i="1"/>
  <c r="J46" i="1"/>
  <c r="M46" i="2"/>
  <c r="J42" i="1"/>
  <c r="I46" i="2"/>
  <c r="N46" i="2"/>
  <c r="J47" i="1"/>
  <c r="J32" i="2"/>
  <c r="J44" i="2" s="1"/>
  <c r="J40" i="1"/>
  <c r="G46" i="2"/>
  <c r="K47" i="2"/>
  <c r="K44" i="1" s="1"/>
  <c r="I44" i="1"/>
  <c r="D31" i="2"/>
  <c r="D32" i="2" s="1"/>
  <c r="D44" i="2" s="1"/>
  <c r="L31" i="2"/>
  <c r="L32" i="2" s="1"/>
  <c r="L44" i="2" s="1"/>
  <c r="O32" i="2"/>
  <c r="O44" i="2" s="1"/>
  <c r="H31" i="2"/>
  <c r="H32" i="2" s="1"/>
  <c r="H44" i="2" s="1"/>
  <c r="J31" i="2"/>
  <c r="C30" i="2"/>
  <c r="Q30" i="2" s="1"/>
  <c r="K22" i="1" s="1"/>
  <c r="C29" i="2"/>
  <c r="Q29" i="2" s="1"/>
  <c r="K21" i="1" s="1"/>
  <c r="Q28" i="2"/>
  <c r="J41" i="1" l="1"/>
  <c r="H46" i="2"/>
  <c r="L46" i="2"/>
  <c r="J45" i="1"/>
  <c r="D46" i="2"/>
  <c r="J37" i="1"/>
  <c r="I47" i="2"/>
  <c r="K42" i="1" s="1"/>
  <c r="I42" i="1"/>
  <c r="I46" i="1"/>
  <c r="M47" i="2"/>
  <c r="K46" i="1" s="1"/>
  <c r="J48" i="1"/>
  <c r="O46" i="2"/>
  <c r="P47" i="2"/>
  <c r="K49" i="1" s="1"/>
  <c r="I49" i="1"/>
  <c r="J43" i="1"/>
  <c r="J46" i="2"/>
  <c r="C31" i="2"/>
  <c r="Q31" i="2" s="1"/>
  <c r="K25" i="1" s="1"/>
  <c r="I39" i="1"/>
  <c r="F47" i="2"/>
  <c r="K39" i="1" s="1"/>
  <c r="I40" i="1"/>
  <c r="G47" i="2"/>
  <c r="K40" i="1" s="1"/>
  <c r="C32" i="2"/>
  <c r="C44" i="2" s="1"/>
  <c r="K20" i="1"/>
  <c r="K23" i="1" s="1"/>
  <c r="K26" i="1" s="1"/>
  <c r="K31" i="1" s="1"/>
  <c r="K32" i="1" s="1"/>
  <c r="Q32" i="2"/>
  <c r="N47" i="2"/>
  <c r="K47" i="1" s="1"/>
  <c r="I47" i="1"/>
  <c r="I38" i="1"/>
  <c r="E47" i="2"/>
  <c r="K38" i="1" s="1"/>
  <c r="I48" i="1" l="1"/>
  <c r="O47" i="2"/>
  <c r="K48" i="1" s="1"/>
  <c r="D47" i="2"/>
  <c r="K37" i="1" s="1"/>
  <c r="I37" i="1"/>
  <c r="J36" i="1"/>
  <c r="J50" i="1" s="1"/>
  <c r="C46" i="2"/>
  <c r="Q44" i="2"/>
  <c r="I43" i="1"/>
  <c r="J47" i="2"/>
  <c r="K43" i="1" s="1"/>
  <c r="L47" i="2"/>
  <c r="K45" i="1" s="1"/>
  <c r="I45" i="1"/>
  <c r="I41" i="1"/>
  <c r="H47" i="2"/>
  <c r="K41" i="1" s="1"/>
  <c r="C47" i="2" l="1"/>
  <c r="K36" i="1" s="1"/>
  <c r="I36" i="1"/>
</calcChain>
</file>

<file path=xl/sharedStrings.xml><?xml version="1.0" encoding="utf-8"?>
<sst xmlns="http://schemas.openxmlformats.org/spreadsheetml/2006/main" count="181" uniqueCount="127">
  <si>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</si>
  <si>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</si>
  <si>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</si>
  <si>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</si>
  <si>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</si>
  <si>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</si>
  <si>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</si>
  <si>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</si>
  <si>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</si>
  <si>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</si>
  <si>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</si>
  <si>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3.085 Tn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</si>
  <si>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</si>
  <si>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</si>
  <si>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</si>
  <si>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</si>
  <si>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</si>
  <si>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</si>
  <si>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</si>
  <si>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</si>
  <si>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</si>
  <si>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</si>
  <si>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</si>
  <si>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</si>
  <si>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</si>
  <si>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</si>
  <si>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</si>
  <si>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</si>
  <si>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</si>
  <si>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</si>
  <si>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</si>
  <si>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</si>
  <si>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</si>
  <si>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</si>
  <si>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</si>
  <si>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</si>
  <si>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</si>
  <si>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</si>
  <si>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</si>
  <si>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</si>
  <si>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</si>
  <si>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</si>
  <si>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</si>
  <si>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</si>
  <si>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</si>
  <si>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</si>
  <si>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</si>
  <si>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</si>
  <si>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PAPEL COREANO PARA ENVOLTURA DE FLORES</t>
  </si>
  <si>
    <t>CINTA DECORATIVA</t>
  </si>
  <si>
    <t>CINTA DECORATIVA SATINADA</t>
  </si>
  <si>
    <t>ENVOLTURA PARA RAMOS ONDULADO</t>
  </si>
  <si>
    <t>FLORES ARTIFICIALES DECORATIVAS</t>
  </si>
  <si>
    <t>BOLSA DECORATIVA PARA FLORES</t>
  </si>
  <si>
    <t>BOLSA DE REGALO CON CADENITA</t>
  </si>
  <si>
    <t>BOLSA CON LAZO PARA FLORES</t>
  </si>
  <si>
    <t>CAJA DECORATIVA PARA FLORES</t>
  </si>
  <si>
    <t>BOLSA DE DECORACION PARA FLORES</t>
  </si>
  <si>
    <t>BOLSA DE REGALO CON ASAS</t>
  </si>
  <si>
    <t>BOLSA DE CORAZON PARA FLORES</t>
  </si>
  <si>
    <t>BOLSA TRANSPARENTE PARA FLORES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</si>
  <si>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</si>
  <si>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</si>
  <si>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</si>
  <si>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</si>
  <si>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</si>
  <si>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</si>
  <si>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</si>
  <si>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</si>
  <si>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</si>
  <si>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</si>
  <si>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</si>
  <si>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>13.</t>
    </r>
    <r>
      <rPr>
        <sz val="7"/>
        <color rgb="FF000000"/>
        <rFont val="Calibri Light"/>
      </rPr>
      <t xml:space="preserve"> </t>
    </r>
    <r>
      <rPr>
        <sz val="11"/>
        <color rgb="FF000000"/>
        <rFont val="Calibri Light"/>
      </rPr>
      <t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</si>
  <si>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</si>
  <si>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</si>
  <si>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</si>
  <si>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</si>
  <si>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</si>
  <si>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</si>
  <si>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</si>
  <si>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</si>
  <si>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</si>
  <si>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</si>
  <si>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</si>
  <si>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</si>
  <si>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</si>
  <si>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</si>
  <si>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</si>
  <si>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</si>
  <si>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</si>
  <si>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</si>
  <si>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>El tipo de cambio referencial usado para la conversión a soles es del 3.70</t>
    </r>
  </si>
  <si>
    <t>llegue al puerto del Callao.</t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</si>
  <si>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 xml:space="preserve">A nosotros se nos pagan los </t>
    </r>
    <r>
      <rPr>
        <b/>
        <sz val="14"/>
        <color rgb="FF000000"/>
        <rFont val="Calibri Light"/>
      </rPr>
      <t>Gastos Logísticos + Impuestos</t>
    </r>
    <r>
      <rPr>
        <sz val="14"/>
        <color rgb="FF000000"/>
        <rFont val="Calibri Light"/>
      </rPr>
      <t xml:space="preserve"> una semana antes de que el contenedor</t>
    </r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</si>
  <si>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>No se emite comprobante por concepto de "PERCEPCIÓN, ANTI DUMPING, GESTIÓN DE COMPRA"</t>
    </r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</si>
  <si>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>Las fechas brindadas son estimadas, estan sujetas a variación.</t>
    </r>
  </si>
  <si>
    <t>NOTAS:</t>
  </si>
  <si>
    <t>PORTA ROSAS DE CARTON</t>
  </si>
  <si>
    <t>Hola CHRISTOPHER ARBAIZA SOLIS 😁 un gusto saludarte!
        A continuación te envío la cotización final de tu importación📋📦.
        🙋‍♂️ PAGO PENDIENTE :
        ☑️Costo CBM: $341.70444
        ☑️Impuestos: $3562.77
        ☑️ Total: $3904.47444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</si>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</sst>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tn&quot;"/>
    <numFmt numFmtId="172" formatCode="&quot;S/.&quot;\ #,##0.00_-"/>
    <numFmt numFmtId="173" formatCode="\$#,##0.00"/>
    <numFmt numFmtId="174" formatCode="_-[$$-409]* #,##0.00_ ;_-[$$-409]* \-#,##0.00\ ;_-[$$-409]* &quot;-&quot;??_ ;_-@_ "/>
  </numFmts>
  <fonts count="27" x14ac:knownFonts="1">
    <font>
      <sz val="11"/>
      <color rgb="FF000000"/>
      <name val="Calibri"/>
      <scheme val="minor"/>
    </font>
    <font>
      <sz val="11"/>
      <color rgb="FF000000"/>
      <name val="Calibri Light"/>
      <scheme val="major"/>
    </font>
    <font>
      <b/>
      <sz val="11"/>
      <color rgb="FF000000"/>
      <name val="Calibri Light"/>
      <scheme val="major"/>
    </font>
    <font>
      <sz val="11"/>
      <color rgb="FFFFFFFF"/>
      <name val="Calibri Light"/>
      <scheme val="major"/>
    </font>
    <font>
      <sz val="8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FFFFFF"/>
      <name val="Calibri"/>
      <scheme val="minor"/>
    </font>
    <font>
      <u/>
      <sz val="11"/>
      <color rgb="FF000000"/>
      <name val="Calibri"/>
      <scheme val="minor"/>
    </font>
    <font>
      <sz val="14"/>
      <color rgb="FF000000"/>
      <name val="Calibri Light"/>
      <scheme val="major"/>
    </font>
    <font>
      <sz val="11"/>
      <color rgb="FFFFFFFF"/>
      <name val="Arial"/>
    </font>
    <font>
      <b/>
      <sz val="16"/>
      <color rgb="FF000000"/>
      <name val="Calibri Light"/>
      <scheme val="major"/>
    </font>
    <font>
      <b/>
      <sz val="20"/>
      <color rgb="FF000000"/>
      <name val="Calibri"/>
      <scheme val="minor"/>
    </font>
    <font>
      <b/>
      <sz val="20"/>
      <color rgb="FFFF500B"/>
      <name val="Calibri"/>
      <scheme val="minor"/>
    </font>
    <font>
      <b/>
      <sz val="11"/>
      <color rgb="FFFFFFFF"/>
      <name val="Calibri Light"/>
      <scheme val="major"/>
    </font>
    <font>
      <sz val="12"/>
      <color rgb="FFFFFFFF"/>
      <name val="Arial"/>
    </font>
    <font>
      <sz val="11"/>
      <color rgb="FFFF0000"/>
      <name val="Calibri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  <scheme val="minor"/>
    </font>
    <font>
      <b/>
      <u/>
      <sz val="11"/>
      <color rgb="FF000000"/>
      <name val="Calibri Light"/>
      <scheme val="major"/>
    </font>
    <font>
      <sz val="7"/>
      <color rgb="FF000000"/>
      <name val="Calibri Light"/>
    </font>
    <font>
      <sz val="11"/>
      <color rgb="FF000000"/>
      <name val="Calibri Light"/>
    </font>
    <font>
      <b/>
      <sz val="14"/>
      <color rgb="FF000000"/>
      <name val="Calibri Light"/>
    </font>
    <font>
      <sz val="14"/>
      <color rgb="FF000000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/>
    <xf numFmtId="165" fontId="1" fillId="2" borderId="0" xfId="0" applyNumberFormat="1" applyFont="1" applyFill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0" borderId="0" xfId="0" applyFont="1"/>
    <xf numFmtId="0" fontId="0" fillId="2" borderId="6" xfId="0" applyFill="1" applyBorder="1" applyAlignment="1">
      <alignment horizontal="center"/>
    </xf>
    <xf numFmtId="0" fontId="5" fillId="2" borderId="4" xfId="0" applyFont="1" applyFill="1" applyBorder="1"/>
    <xf numFmtId="0" fontId="6" fillId="5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66" fontId="1" fillId="2" borderId="0" xfId="0" applyNumberFormat="1" applyFont="1" applyFill="1"/>
    <xf numFmtId="166" fontId="0" fillId="2" borderId="0" xfId="0" applyNumberFormat="1" applyFill="1"/>
    <xf numFmtId="0" fontId="1" fillId="2" borderId="0" xfId="0" applyFont="1" applyFill="1" applyAlignment="1">
      <alignment vertical="center"/>
    </xf>
    <xf numFmtId="0" fontId="0" fillId="2" borderId="4" xfId="0" applyFill="1" applyBorder="1"/>
    <xf numFmtId="0" fontId="3" fillId="2" borderId="8" xfId="0" applyFont="1" applyFill="1" applyBorder="1"/>
    <xf numFmtId="0" fontId="6" fillId="2" borderId="8" xfId="0" applyFont="1" applyFill="1" applyBorder="1" applyAlignment="1">
      <alignment vertical="center"/>
    </xf>
    <xf numFmtId="0" fontId="7" fillId="2" borderId="0" xfId="0" applyFont="1" applyFill="1"/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0" fillId="9" borderId="0" xfId="0" applyFill="1"/>
    <xf numFmtId="170" fontId="0" fillId="0" borderId="0" xfId="0" applyNumberFormat="1"/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171" fontId="0" fillId="0" borderId="0" xfId="0" applyNumberFormat="1" applyAlignment="1">
      <alignment horizontal="right"/>
    </xf>
    <xf numFmtId="0" fontId="5" fillId="0" borderId="0" xfId="0" applyFont="1"/>
    <xf numFmtId="10" fontId="0" fillId="0" borderId="0" xfId="0" applyNumberFormat="1"/>
    <xf numFmtId="10" fontId="15" fillId="0" borderId="0" xfId="0" applyNumberFormat="1" applyFont="1"/>
    <xf numFmtId="172" fontId="0" fillId="0" borderId="0" xfId="0" applyNumberFormat="1"/>
    <xf numFmtId="170" fontId="5" fillId="0" borderId="0" xfId="0" applyNumberFormat="1" applyFont="1"/>
    <xf numFmtId="0" fontId="16" fillId="2" borderId="1" xfId="0" applyFont="1" applyFill="1" applyBorder="1" applyAlignment="1">
      <alignment horizontal="center"/>
    </xf>
    <xf numFmtId="173" fontId="16" fillId="2" borderId="1" xfId="0" applyNumberFormat="1" applyFont="1" applyFill="1" applyBorder="1" applyAlignment="1">
      <alignment horizontal="center"/>
    </xf>
    <xf numFmtId="173" fontId="16" fillId="0" borderId="1" xfId="0" applyNumberFormat="1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173" fontId="19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3" fontId="2" fillId="2" borderId="0" xfId="0" applyNumberFormat="1" applyFont="1" applyFill="1" applyAlignment="1">
      <alignment horizontal="center"/>
    </xf>
    <xf numFmtId="0" fontId="22" fillId="2" borderId="0" xfId="0" applyFont="1" applyFill="1"/>
    <xf numFmtId="0" fontId="2" fillId="2" borderId="2" xfId="0" applyFont="1" applyFill="1" applyBorder="1"/>
    <xf numFmtId="0" fontId="2" fillId="2" borderId="7" xfId="0" applyFont="1" applyFill="1" applyBorder="1"/>
    <xf numFmtId="0" fontId="14" fillId="5" borderId="0" xfId="0" applyFont="1" applyFill="1" applyAlignment="1">
      <alignment horizontal="left"/>
    </xf>
    <xf numFmtId="0" fontId="1" fillId="2" borderId="0" xfId="0" applyFont="1" applyFill="1"/>
    <xf numFmtId="1" fontId="1" fillId="6" borderId="0" xfId="0" applyNumberFormat="1" applyFont="1" applyFill="1" applyAlignment="1">
      <alignment horizontal="center"/>
    </xf>
    <xf numFmtId="169" fontId="1" fillId="6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14" fontId="1" fillId="2" borderId="0" xfId="0" applyNumberFormat="1" applyFont="1" applyFill="1" applyAlignment="1">
      <alignment horizontal="left"/>
    </xf>
    <xf numFmtId="14" fontId="1" fillId="2" borderId="8" xfId="0" applyNumberFormat="1" applyFont="1" applyFill="1" applyBorder="1" applyAlignment="1">
      <alignment horizontal="left"/>
    </xf>
    <xf numFmtId="0" fontId="0" fillId="2" borderId="0" xfId="0" applyFill="1"/>
    <xf numFmtId="0" fontId="0" fillId="2" borderId="8" xfId="0" applyFill="1" applyBorder="1"/>
    <xf numFmtId="0" fontId="1" fillId="2" borderId="7" xfId="0" applyFont="1" applyFill="1" applyBorder="1"/>
    <xf numFmtId="0" fontId="1" fillId="2" borderId="12" xfId="0" applyFont="1" applyFill="1" applyBorder="1"/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172" fontId="17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73" fontId="16" fillId="2" borderId="1" xfId="0" applyNumberFormat="1" applyFont="1" applyFill="1" applyBorder="1" applyAlignment="1">
      <alignment horizontal="center"/>
    </xf>
    <xf numFmtId="174" fontId="16" fillId="2" borderId="1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8" fillId="2" borderId="0" xfId="0" applyFont="1" applyFill="1"/>
    <xf numFmtId="0" fontId="1" fillId="2" borderId="2" xfId="0" applyFont="1" applyFill="1" applyBorder="1"/>
    <xf numFmtId="0" fontId="1" fillId="2" borderId="11" xfId="0" applyFont="1" applyFill="1" applyBorder="1"/>
    <xf numFmtId="0" fontId="9" fillId="3" borderId="0" xfId="0" applyFont="1" applyFill="1"/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4" fontId="1" fillId="6" borderId="0" xfId="0" applyNumberFormat="1" applyFon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left"/>
    </xf>
    <xf numFmtId="166" fontId="18" fillId="2" borderId="1" xfId="0" applyNumberFormat="1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173" fontId="19" fillId="2" borderId="1" xfId="0" applyNumberFormat="1" applyFont="1" applyFill="1" applyBorder="1" applyAlignment="1">
      <alignment horizontal="center"/>
    </xf>
    <xf numFmtId="174" fontId="19" fillId="2" borderId="1" xfId="0" applyNumberFormat="1" applyFont="1" applyFill="1" applyBorder="1" applyAlignment="1">
      <alignment horizontal="center"/>
    </xf>
    <xf numFmtId="172" fontId="20" fillId="3" borderId="1" xfId="0" applyNumberFormat="1" applyFont="1" applyFill="1" applyBorder="1" applyAlignment="1">
      <alignment horizontal="center"/>
    </xf>
    <xf numFmtId="166" fontId="21" fillId="3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2" name="Imagen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514350</xdr:colOff>
      <xdr:row>57</xdr:row>
      <xdr:rowOff>9525</xdr:rowOff>
    </xdr:from>
    <xdr:ext cx="1209675" cy="1190625"/>
    <xdr:pic>
      <xdr:nvPicPr>
        <xdr:cNvPr id="3" name="Imagen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93</xdr:row>
      <xdr:rowOff>104775</xdr:rowOff>
    </xdr:from>
    <xdr:to>
      <xdr:col>8</xdr:col>
      <xdr:colOff>504825</xdr:colOff>
      <xdr:row>111</xdr:row>
      <xdr:rowOff>171450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showGridLines="0" tabSelected="1" topLeftCell="A4" zoomScale="85" zoomScaleNormal="85" workbookViewId="0">
      <selection activeCell="C36" sqref="C36:E36"/>
    </sheetView>
  </sheetViews>
  <sheetFormatPr baseColWidth="10" defaultColWidth="10.7109375" defaultRowHeight="15" x14ac:dyDescent="0.25"/>
  <cols>
    <col min="1" max="1" width="7.140625" style="1" customWidth="1"/>
    <col min="2" max="2" width="11.7109375" style="1" customWidth="1"/>
    <col min="3" max="3" width="21.42578125" style="1" customWidth="1"/>
    <col min="4" max="4" width="0.85546875" style="1" customWidth="1"/>
    <col min="5" max="5" width="12.140625" style="1" customWidth="1"/>
    <col min="6" max="6" width="10.7109375" style="1"/>
    <col min="7" max="7" width="15.85546875" style="1" customWidth="1"/>
    <col min="8" max="8" width="0.85546875" style="1" customWidth="1"/>
    <col min="9" max="9" width="11.7109375" style="1" bestFit="1" customWidth="1"/>
    <col min="10" max="10" width="14.140625" style="1" customWidth="1"/>
    <col min="11" max="11" width="12.5703125" style="1" customWidth="1"/>
    <col min="12" max="12" width="8.7109375" style="1" customWidth="1"/>
    <col min="13" max="13" width="10.7109375" style="1"/>
  </cols>
  <sheetData>
    <row r="1" spans="1:13" ht="18" customHeight="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/>
    </row>
    <row r="2" spans="1:13" ht="18" customHeight="1" x14ac:dyDescent="0.25">
      <c r="B2" s="62"/>
      <c r="C2" s="62"/>
      <c r="E2" s="66"/>
      <c r="F2" s="66"/>
      <c r="G2" s="66"/>
      <c r="H2" s="66"/>
      <c r="I2" s="66"/>
      <c r="J2" s="66"/>
      <c r="K2" s="66"/>
      <c r="L2" s="66"/>
      <c r="M2"/>
    </row>
    <row r="3" spans="1:13" ht="26.25" customHeight="1" x14ac:dyDescent="0.4">
      <c r="B3" s="62"/>
      <c r="C3" s="62"/>
      <c r="E3" s="71" t="s">
        <v>0</v>
      </c>
      <c r="F3" s="71"/>
      <c r="G3" s="71"/>
      <c r="H3" s="71"/>
      <c r="I3" s="71"/>
      <c r="J3" s="71"/>
      <c r="M3"/>
    </row>
    <row r="4" spans="1:13" ht="26.25" customHeight="1" x14ac:dyDescent="0.4">
      <c r="B4" s="62"/>
      <c r="C4" s="62"/>
      <c r="E4" s="72" t="s">
        <v>1</v>
      </c>
      <c r="F4" s="72"/>
      <c r="G4" s="72"/>
      <c r="H4" s="72"/>
      <c r="I4" s="72"/>
      <c r="J4" s="72"/>
      <c r="K4" s="11"/>
      <c r="M4"/>
    </row>
    <row r="5" spans="1:13" x14ac:dyDescent="0.25">
      <c r="B5" s="62"/>
      <c r="C5" s="62"/>
      <c r="D5" s="35"/>
    </row>
    <row r="6" spans="1:13" x14ac:dyDescent="0.25">
      <c r="B6" s="62"/>
      <c r="C6" s="62"/>
      <c r="D6" s="23"/>
      <c r="F6" s="23"/>
      <c r="G6" s="23"/>
      <c r="H6" s="23"/>
    </row>
    <row r="7" spans="1:13" x14ac:dyDescent="0.25">
      <c r="A7" s="62"/>
      <c r="B7" s="62"/>
      <c r="C7" s="62"/>
      <c r="E7" s="63" t="s">
        <v>2</v>
      </c>
      <c r="F7" s="63"/>
      <c r="G7" s="63"/>
      <c r="I7" s="62"/>
      <c r="J7" s="62"/>
      <c r="K7" s="62"/>
      <c r="L7" s="62"/>
    </row>
    <row r="8" spans="1:13" x14ac:dyDescent="0.25">
      <c r="B8" s="6" t="s">
        <v>3</v>
      </c>
      <c r="C8" s="105" t="s">
        <v>4</v>
      </c>
      <c r="D8" s="33"/>
      <c r="E8" s="20" t="s">
        <v>5</v>
      </c>
      <c r="F8" s="68" t="s">
        <v>6</v>
      </c>
      <c r="G8" s="69"/>
      <c r="H8" s="32"/>
      <c r="I8" s="1" t="s">
        <v>7</v>
      </c>
      <c r="J8" s="83">
        <f>+'2'!F7</f>
        <v>0</v>
      </c>
      <c r="K8" s="83"/>
      <c r="L8" s="83"/>
    </row>
    <row r="9" spans="1:13" x14ac:dyDescent="0.25">
      <c r="B9" s="6" t="s">
        <v>8</v>
      </c>
      <c r="C9" s="106"/>
      <c r="D9" s="33"/>
      <c r="E9" s="21" t="s">
        <v>9</v>
      </c>
      <c r="F9" s="64">
        <f ca="1">+TODAY()</f>
        <v>45967</v>
      </c>
      <c r="G9" s="65"/>
      <c r="H9" s="32"/>
      <c r="I9" s="1" t="s">
        <v>10</v>
      </c>
      <c r="J9" s="60" t="s">
        <v>11</v>
      </c>
      <c r="K9" s="61"/>
      <c r="L9" s="61"/>
    </row>
    <row r="10" spans="1:13" x14ac:dyDescent="0.25">
      <c r="B10" s="6" t="s">
        <v>12</v>
      </c>
      <c r="C10" s="14"/>
      <c r="D10" s="33"/>
      <c r="E10" s="25" t="s">
        <v>13</v>
      </c>
      <c r="F10" s="66" t="s">
        <v>14</v>
      </c>
      <c r="G10" s="67"/>
      <c r="H10" s="32"/>
      <c r="I10" s="1" t="s">
        <v>15</v>
      </c>
      <c r="J10" s="84"/>
      <c r="K10" s="60"/>
      <c r="L10" s="84"/>
    </row>
    <row r="11" spans="1:13" x14ac:dyDescent="0.25">
      <c r="B11" s="6" t="s">
        <v>16</v>
      </c>
      <c r="C11" s="15">
        <v>51972263251</v>
      </c>
      <c r="D11" s="34"/>
      <c r="E11" s="22" t="s">
        <v>17</v>
      </c>
      <c r="F11" s="86" t="s">
        <v>18</v>
      </c>
      <c r="G11" s="87"/>
      <c r="H11" s="32"/>
      <c r="I11" s="1" t="s">
        <v>19</v>
      </c>
      <c r="J11" s="96">
        <f>'2'!Q7</f>
        <v>13.93</v>
      </c>
      <c r="K11" s="97"/>
      <c r="L11" s="97"/>
    </row>
    <row r="12" spans="1:13" x14ac:dyDescent="0.25"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3" x14ac:dyDescent="0.25">
      <c r="B13" s="88" t="s">
        <v>20</v>
      </c>
      <c r="C13" s="88"/>
      <c r="D13" s="88"/>
      <c r="E13" s="88"/>
      <c r="F13" s="88"/>
      <c r="G13" s="88"/>
      <c r="H13" s="88"/>
      <c r="I13" s="88"/>
      <c r="J13" s="88"/>
      <c r="K13" s="8" t="s">
        <v>21</v>
      </c>
      <c r="L13" s="8" t="s">
        <v>22</v>
      </c>
    </row>
    <row r="14" spans="1:13" x14ac:dyDescent="0.25">
      <c r="B14" s="89" t="s">
        <v>23</v>
      </c>
      <c r="C14" s="89"/>
      <c r="D14" s="89"/>
      <c r="E14" s="89"/>
      <c r="F14" s="89"/>
      <c r="G14" s="89"/>
      <c r="H14" s="89"/>
      <c r="I14" s="89"/>
      <c r="J14" s="89"/>
      <c r="K14" s="12">
        <f>'2'!Q11</f>
        <v>13595.25</v>
      </c>
      <c r="L14" s="7" t="s">
        <v>24</v>
      </c>
    </row>
    <row r="15" spans="1:13" x14ac:dyDescent="0.25">
      <c r="B15" s="90" t="s">
        <v>25</v>
      </c>
      <c r="C15" s="90"/>
      <c r="D15" s="90"/>
      <c r="E15" s="90"/>
      <c r="F15" s="90"/>
      <c r="G15" s="90"/>
      <c r="H15" s="90"/>
      <c r="I15" s="90"/>
      <c r="J15" s="90"/>
      <c r="K15" s="13">
        <f>'2'!Q14 + '2'!Q17</f>
        <v>2512.2399909999999</v>
      </c>
      <c r="L15" s="10" t="s">
        <v>24</v>
      </c>
    </row>
    <row r="16" spans="1:13" x14ac:dyDescent="0.25">
      <c r="B16" s="57" t="s">
        <v>26</v>
      </c>
      <c r="C16" s="57"/>
      <c r="D16" s="57"/>
      <c r="E16" s="57"/>
      <c r="F16" s="57"/>
      <c r="G16" s="57"/>
      <c r="H16" s="57"/>
      <c r="I16" s="57"/>
      <c r="J16" s="57"/>
      <c r="K16" s="12">
        <f>SUM(K14:K15)</f>
        <v>16107.489991</v>
      </c>
      <c r="L16" s="7" t="s">
        <v>24</v>
      </c>
    </row>
    <row r="17" spans="2:14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4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4" x14ac:dyDescent="0.25">
      <c r="B19" s="98" t="s">
        <v>27</v>
      </c>
      <c r="C19" s="98"/>
      <c r="D19" s="98"/>
      <c r="E19" s="98"/>
      <c r="F19" s="98"/>
      <c r="G19" s="16"/>
      <c r="H19" s="16"/>
      <c r="I19" s="16"/>
      <c r="J19" s="8" t="s">
        <v>28</v>
      </c>
      <c r="K19" s="8" t="s">
        <v>21</v>
      </c>
      <c r="L19" s="8" t="s">
        <v>22</v>
      </c>
    </row>
    <row r="20" spans="2:14" x14ac:dyDescent="0.25">
      <c r="B20" s="59" t="s">
        <v>29</v>
      </c>
      <c r="C20" s="59"/>
      <c r="D20" s="59"/>
      <c r="E20" s="59"/>
      <c r="F20" s="59"/>
      <c r="G20" s="59"/>
      <c r="H20" s="59"/>
      <c r="I20" s="59"/>
      <c r="J20" s="18">
        <f>MAX('2'!C27:O27)</f>
        <v>0</v>
      </c>
      <c r="K20" s="12">
        <f>'2'!Q28</f>
        <v>0</v>
      </c>
      <c r="L20" s="7" t="s">
        <v>24</v>
      </c>
      <c r="N20" t="s">
        <v>98</v>
      </c>
    </row>
    <row r="21" spans="2:14" x14ac:dyDescent="0.25">
      <c r="B21" s="59" t="s">
        <v>30</v>
      </c>
      <c r="C21" s="59"/>
      <c r="D21" s="59"/>
      <c r="E21" s="59"/>
      <c r="F21" s="59"/>
      <c r="G21" s="59"/>
      <c r="H21" s="59"/>
      <c r="I21" s="59"/>
      <c r="J21" s="18">
        <v>0.16</v>
      </c>
      <c r="K21" s="12">
        <f>'2'!Q29</f>
        <v>2577.1983985600004</v>
      </c>
      <c r="L21" s="7" t="s">
        <v>24</v>
      </c>
    </row>
    <row r="22" spans="2:14" x14ac:dyDescent="0.25">
      <c r="B22" s="86" t="s">
        <v>31</v>
      </c>
      <c r="C22" s="86"/>
      <c r="D22" s="86"/>
      <c r="E22" s="86"/>
      <c r="F22" s="86"/>
      <c r="G22" s="86"/>
      <c r="H22" s="86"/>
      <c r="I22" s="86"/>
      <c r="J22" s="18">
        <v>0.02</v>
      </c>
      <c r="K22" s="12">
        <f>'2'!Q30</f>
        <v>322.14979982000006</v>
      </c>
      <c r="L22" s="7" t="s">
        <v>24</v>
      </c>
    </row>
    <row r="23" spans="2:14" x14ac:dyDescent="0.25">
      <c r="B23" s="57" t="s">
        <v>32</v>
      </c>
      <c r="C23" s="57"/>
      <c r="D23" s="57"/>
      <c r="E23" s="57"/>
      <c r="F23" s="57"/>
      <c r="G23" s="57"/>
      <c r="H23" s="57"/>
      <c r="I23" s="57"/>
      <c r="J23" s="27"/>
      <c r="K23" s="28">
        <f>SUM(K20:K22)</f>
        <v>2899.3481983800007</v>
      </c>
      <c r="L23" s="27" t="s">
        <v>24</v>
      </c>
    </row>
    <row r="24" spans="2:14" x14ac:dyDescent="0.25">
      <c r="B24" s="59"/>
      <c r="C24" s="59"/>
      <c r="D24" s="59"/>
      <c r="E24" s="59"/>
      <c r="F24" s="59"/>
      <c r="G24" s="59"/>
      <c r="H24" s="59"/>
      <c r="I24" s="59"/>
      <c r="J24" s="2"/>
      <c r="K24" s="9"/>
      <c r="L24" s="7"/>
    </row>
    <row r="25" spans="2:14" x14ac:dyDescent="0.25">
      <c r="B25" s="86" t="s">
        <v>33</v>
      </c>
      <c r="C25" s="86"/>
      <c r="D25" s="86"/>
      <c r="E25" s="86"/>
      <c r="F25" s="86"/>
      <c r="G25" s="86"/>
      <c r="H25" s="86"/>
      <c r="I25" s="86"/>
      <c r="J25" s="19" t="s">
        <v>34</v>
      </c>
      <c r="K25" s="13">
        <f>'2'!Q31</f>
        <v>665.23933662830007</v>
      </c>
      <c r="L25" s="10" t="s">
        <v>24</v>
      </c>
    </row>
    <row r="26" spans="2:14" x14ac:dyDescent="0.25">
      <c r="B26" s="57" t="s">
        <v>35</v>
      </c>
      <c r="C26" s="57"/>
      <c r="D26" s="57"/>
      <c r="E26" s="57"/>
      <c r="F26" s="57"/>
      <c r="G26" s="57"/>
      <c r="H26" s="57"/>
      <c r="I26" s="57"/>
      <c r="K26" s="12">
        <f>K23+K25</f>
        <v>3564.5875350083006</v>
      </c>
      <c r="L26" s="7" t="s">
        <v>24</v>
      </c>
    </row>
    <row r="27" spans="2:14" x14ac:dyDescent="0.25">
      <c r="B27" s="66"/>
      <c r="C27" s="66"/>
      <c r="D27" s="66"/>
      <c r="E27" s="66"/>
      <c r="F27" s="66"/>
      <c r="G27" s="66"/>
      <c r="H27" s="66"/>
      <c r="I27" s="66"/>
    </row>
    <row r="28" spans="2:14" ht="15.75" customHeight="1" x14ac:dyDescent="0.25">
      <c r="B28" s="58" t="s">
        <v>36</v>
      </c>
      <c r="C28" s="58"/>
      <c r="D28" s="58"/>
      <c r="E28" s="58"/>
      <c r="F28" s="58"/>
      <c r="G28" s="58"/>
      <c r="H28" s="58"/>
      <c r="I28" s="58"/>
      <c r="J28" s="58"/>
      <c r="K28" s="26" t="s">
        <v>21</v>
      </c>
      <c r="L28" s="26" t="s">
        <v>22</v>
      </c>
      <c r="M28"/>
    </row>
    <row r="29" spans="2:14" x14ac:dyDescent="0.25">
      <c r="B29" s="59" t="s">
        <v>37</v>
      </c>
      <c r="C29" s="59"/>
      <c r="D29" s="59"/>
      <c r="E29" s="59"/>
      <c r="F29" s="59"/>
      <c r="G29" s="59"/>
      <c r="H29" s="59"/>
      <c r="I29" s="59"/>
      <c r="J29" s="59"/>
      <c r="K29" s="12">
        <f>K14</f>
        <v>13595.25</v>
      </c>
      <c r="L29" s="7" t="s">
        <v>24</v>
      </c>
    </row>
    <row r="30" spans="2:14" x14ac:dyDescent="0.25">
      <c r="B30" s="59" t="s">
        <v>38</v>
      </c>
      <c r="C30" s="59"/>
      <c r="D30" s="59"/>
      <c r="E30" s="59"/>
      <c r="F30" s="59"/>
      <c r="G30" s="59"/>
      <c r="H30" s="59"/>
      <c r="I30" s="59"/>
      <c r="J30" s="59"/>
      <c r="K30" s="12">
        <f>IF(J11&lt;1, '2'!U7, '2'!U7*J11)</f>
        <v>4020.399985</v>
      </c>
      <c r="L30" s="7" t="s">
        <v>24</v>
      </c>
    </row>
    <row r="31" spans="2:14" x14ac:dyDescent="0.25">
      <c r="B31" s="86" t="s">
        <v>39</v>
      </c>
      <c r="C31" s="86"/>
      <c r="D31" s="86"/>
      <c r="E31" s="86"/>
      <c r="F31" s="86"/>
      <c r="G31" s="86"/>
      <c r="H31" s="86"/>
      <c r="I31" s="86"/>
      <c r="J31" s="86"/>
      <c r="K31" s="13">
        <f>K26</f>
        <v>3564.5875350083006</v>
      </c>
      <c r="L31" s="10" t="s">
        <v>24</v>
      </c>
    </row>
    <row r="32" spans="2:14" x14ac:dyDescent="0.25">
      <c r="B32" s="57" t="s">
        <v>40</v>
      </c>
      <c r="C32" s="57"/>
      <c r="D32" s="57"/>
      <c r="E32" s="57"/>
      <c r="F32" s="57"/>
      <c r="G32" s="57"/>
      <c r="H32" s="57"/>
      <c r="I32" s="57"/>
      <c r="J32" s="57"/>
      <c r="K32" s="12">
        <f>SUM(K29:K31)</f>
        <v>21180.237520008301</v>
      </c>
      <c r="L32" s="7" t="s">
        <v>24</v>
      </c>
    </row>
    <row r="33" spans="1:13" x14ac:dyDescent="0.25"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</row>
    <row r="34" spans="1:13" x14ac:dyDescent="0.25">
      <c r="B34" s="80" t="s">
        <v>41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3" x14ac:dyDescent="0.25">
      <c r="B35" s="17" t="s">
        <v>42</v>
      </c>
      <c r="C35" s="78" t="s">
        <v>43</v>
      </c>
      <c r="D35" s="91"/>
      <c r="E35" s="79"/>
      <c r="F35" s="4" t="s">
        <v>44</v>
      </c>
      <c r="G35" s="78" t="s">
        <v>45</v>
      </c>
      <c r="H35" s="79"/>
      <c r="I35" s="3" t="s">
        <v>46</v>
      </c>
      <c r="J35" s="24" t="s">
        <v>35</v>
      </c>
      <c r="K35" s="74" t="s">
        <v>47</v>
      </c>
      <c r="L35" s="74"/>
    </row>
    <row r="36" spans="1:13" x14ac:dyDescent="0.25">
      <c r="B36" s="48">
        <v>1</v>
      </c>
      <c r="C36" s="75" t="s">
        <v>48</v>
      </c>
      <c r="D36" s="75"/>
      <c r="E36" s="75"/>
      <c r="F36" s="48">
        <f>'2'!C10</f>
        <v>2200</v>
      </c>
      <c r="G36" s="76">
        <f>'2'!C8</f>
        <v>0.65</v>
      </c>
      <c r="H36" s="77"/>
      <c r="I36" s="49">
        <f>'2'!C46</f>
        <v>1.0126444447880985</v>
      </c>
      <c r="J36" s="49">
        <f>'2'!C44</f>
        <v>2227.8177785338166</v>
      </c>
      <c r="K36" s="73">
        <f>'2'!C47</f>
        <v>3.7467844457159645</v>
      </c>
      <c r="L36" s="74"/>
    </row>
    <row r="37" spans="1:13" ht="15.75" customHeight="1" x14ac:dyDescent="0.25">
      <c r="A37"/>
      <c r="B37" s="48">
        <v>2</v>
      </c>
      <c r="C37" s="75" t="s">
        <v>49</v>
      </c>
      <c r="D37" s="75"/>
      <c r="E37" s="75"/>
      <c r="F37" s="48">
        <f>'2'!D10</f>
        <v>2930</v>
      </c>
      <c r="G37" s="76">
        <f>'2'!D8</f>
        <v>0.85597269624573002</v>
      </c>
      <c r="H37" s="75"/>
      <c r="I37" s="50">
        <f>'2'!D46</f>
        <v>1.3335323011438909</v>
      </c>
      <c r="J37" s="49">
        <f>'2'!D44</f>
        <v>3907.2496423516</v>
      </c>
      <c r="K37" s="73">
        <f>'2'!D47</f>
        <v>4.9340695142323963</v>
      </c>
      <c r="L37" s="99"/>
      <c r="M37"/>
    </row>
    <row r="38" spans="1:13" ht="15.75" customHeight="1" x14ac:dyDescent="0.25">
      <c r="A38"/>
      <c r="B38" s="48">
        <v>3</v>
      </c>
      <c r="C38" s="75" t="s">
        <v>50</v>
      </c>
      <c r="D38" s="75"/>
      <c r="E38" s="75"/>
      <c r="F38" s="48">
        <f>'2'!E10</f>
        <v>555</v>
      </c>
      <c r="G38" s="76">
        <f>'2'!E8</f>
        <v>1.85</v>
      </c>
      <c r="H38" s="75"/>
      <c r="I38" s="50">
        <f>'2'!E46</f>
        <v>2.8821418813199724</v>
      </c>
      <c r="J38" s="49">
        <f>'2'!E44</f>
        <v>1599.5887441325847</v>
      </c>
      <c r="K38" s="73">
        <f>'2'!E47</f>
        <v>10.663924960883898</v>
      </c>
      <c r="L38" s="99"/>
      <c r="M38"/>
    </row>
    <row r="39" spans="1:13" ht="15.75" customHeight="1" x14ac:dyDescent="0.25">
      <c r="A39"/>
      <c r="B39" s="51">
        <v>4</v>
      </c>
      <c r="C39" s="100" t="s">
        <v>51</v>
      </c>
      <c r="D39" s="100"/>
      <c r="E39" s="100"/>
      <c r="F39" s="51">
        <f>'2'!F10</f>
        <v>1700</v>
      </c>
      <c r="G39" s="101">
        <f>'2'!F8</f>
        <v>0.5</v>
      </c>
      <c r="H39" s="102"/>
      <c r="I39" s="52">
        <f>'2'!F46</f>
        <v>0.77895726522161424</v>
      </c>
      <c r="J39" s="52">
        <f>'2'!F44</f>
        <v>1324.2273508767441</v>
      </c>
      <c r="K39" s="103">
        <f>'2'!F47</f>
        <v>2.8821418813199728</v>
      </c>
      <c r="L39" s="104"/>
      <c r="M39"/>
    </row>
    <row r="40" spans="1:13" ht="15.75" customHeight="1" x14ac:dyDescent="0.25">
      <c r="A40"/>
      <c r="B40" s="51">
        <v>5</v>
      </c>
      <c r="C40" s="100" t="s">
        <v>52</v>
      </c>
      <c r="D40" s="100"/>
      <c r="E40" s="100"/>
      <c r="F40" s="51">
        <f>'2'!G10</f>
        <v>4000</v>
      </c>
      <c r="G40" s="101">
        <f>'2'!G8</f>
        <v>0.54</v>
      </c>
      <c r="H40" s="102"/>
      <c r="I40" s="52">
        <f>'2'!G46</f>
        <v>0.84127384643934333</v>
      </c>
      <c r="J40" s="52">
        <f>'2'!G44</f>
        <v>3365.0953857573732</v>
      </c>
      <c r="K40" s="103">
        <f>'2'!G47</f>
        <v>3.1127132318255706</v>
      </c>
      <c r="L40" s="104"/>
      <c r="M40"/>
    </row>
    <row r="41" spans="1:13" ht="15.75" customHeight="1" x14ac:dyDescent="0.25">
      <c r="A41"/>
      <c r="B41" s="51">
        <v>6</v>
      </c>
      <c r="C41" s="100" t="s">
        <v>53</v>
      </c>
      <c r="D41" s="100"/>
      <c r="E41" s="100"/>
      <c r="F41" s="51">
        <f>'2'!H10</f>
        <v>1400</v>
      </c>
      <c r="G41" s="101">
        <f>'2'!H8</f>
        <v>0.35</v>
      </c>
      <c r="H41" s="102"/>
      <c r="I41" s="52">
        <f>'2'!H46</f>
        <v>0.5452700856551298</v>
      </c>
      <c r="J41" s="52">
        <f>'2'!H44</f>
        <v>763.37811991718172</v>
      </c>
      <c r="K41" s="103">
        <f>'2'!H47</f>
        <v>2.0174993169239803</v>
      </c>
      <c r="L41" s="104"/>
      <c r="M41"/>
    </row>
    <row r="42" spans="1:13" ht="15.75" customHeight="1" x14ac:dyDescent="0.25">
      <c r="A42"/>
      <c r="B42" s="51">
        <v>7</v>
      </c>
      <c r="C42" s="100" t="s">
        <v>54</v>
      </c>
      <c r="D42" s="100"/>
      <c r="E42" s="100"/>
      <c r="F42" s="51">
        <f>'2'!I10</f>
        <v>2750</v>
      </c>
      <c r="G42" s="101">
        <f>'2'!I8</f>
        <v>0.28000000000000003</v>
      </c>
      <c r="H42" s="102"/>
      <c r="I42" s="52">
        <f>'2'!I46</f>
        <v>0.43621606852410399</v>
      </c>
      <c r="J42" s="52">
        <f>'2'!I44</f>
        <v>1199.594188441286</v>
      </c>
      <c r="K42" s="103">
        <f>'2'!I47</f>
        <v>1.6139994535391848</v>
      </c>
      <c r="L42" s="104"/>
      <c r="M42"/>
    </row>
    <row r="43" spans="1:13" ht="15.75" customHeight="1" x14ac:dyDescent="0.25">
      <c r="A43"/>
      <c r="B43" s="51">
        <v>8</v>
      </c>
      <c r="C43" s="100" t="s">
        <v>55</v>
      </c>
      <c r="D43" s="100"/>
      <c r="E43" s="100"/>
      <c r="F43" s="51">
        <f>'2'!J10</f>
        <v>1250</v>
      </c>
      <c r="G43" s="101">
        <f>'2'!J8</f>
        <v>0.28999999999999998</v>
      </c>
      <c r="H43" s="102"/>
      <c r="I43" s="52">
        <f>'2'!J46</f>
        <v>0.45179521382853616</v>
      </c>
      <c r="J43" s="52">
        <f>'2'!J44</f>
        <v>564.74401728567022</v>
      </c>
      <c r="K43" s="103">
        <f>'2'!J47</f>
        <v>1.6716422911655839</v>
      </c>
      <c r="L43" s="104"/>
      <c r="M43"/>
    </row>
    <row r="44" spans="1:13" ht="15.75" customHeight="1" x14ac:dyDescent="0.25">
      <c r="A44"/>
      <c r="B44" s="51">
        <v>9</v>
      </c>
      <c r="C44" s="100" t="s">
        <v>56</v>
      </c>
      <c r="D44" s="100"/>
      <c r="E44" s="100"/>
      <c r="F44" s="51">
        <f>'2'!K10</f>
        <v>1100</v>
      </c>
      <c r="G44" s="101">
        <f>'2'!K8</f>
        <v>0.16</v>
      </c>
      <c r="H44" s="102"/>
      <c r="I44" s="52">
        <f>'2'!K46</f>
        <v>0.24926632487091654</v>
      </c>
      <c r="J44" s="52">
        <f>'2'!K44</f>
        <v>274.19295735800819</v>
      </c>
      <c r="K44" s="103">
        <f>'2'!K47</f>
        <v>0.92228540202239129</v>
      </c>
      <c r="L44" s="104"/>
      <c r="M44"/>
    </row>
    <row r="45" spans="1:13" ht="15.75" customHeight="1" x14ac:dyDescent="0.25">
      <c r="A45"/>
      <c r="B45" s="51">
        <v>10</v>
      </c>
      <c r="C45" s="100" t="s">
        <v>57</v>
      </c>
      <c r="D45" s="100"/>
      <c r="E45" s="100"/>
      <c r="F45" s="51">
        <f>'2'!L10</f>
        <v>2800</v>
      </c>
      <c r="G45" s="101">
        <f>'2'!L8</f>
        <v>0.28999999999999998</v>
      </c>
      <c r="H45" s="102"/>
      <c r="I45" s="52">
        <f>'2'!L46</f>
        <v>0.45179521382853627</v>
      </c>
      <c r="J45" s="52">
        <f>'2'!L44</f>
        <v>1265.0265987199016</v>
      </c>
      <c r="K45" s="103">
        <f>'2'!L47</f>
        <v>1.6716422911655844</v>
      </c>
      <c r="L45" s="104"/>
      <c r="M45"/>
    </row>
    <row r="46" spans="1:13" ht="15.75" customHeight="1" x14ac:dyDescent="0.25">
      <c r="A46"/>
      <c r="B46" s="51">
        <v>11</v>
      </c>
      <c r="C46" s="100" t="s">
        <v>58</v>
      </c>
      <c r="D46" s="100"/>
      <c r="E46" s="100"/>
      <c r="F46" s="51">
        <f>'2'!M10</f>
        <v>6300</v>
      </c>
      <c r="G46" s="101">
        <f>'2'!M8</f>
        <v>0.24761904761904999</v>
      </c>
      <c r="H46" s="102"/>
      <c r="I46" s="52">
        <f>'2'!M46</f>
        <v>0.38576931230023165</v>
      </c>
      <c r="J46" s="52">
        <f>'2'!M44</f>
        <v>2430.3466674914594</v>
      </c>
      <c r="K46" s="103">
        <f>'2'!M47</f>
        <v>1.4273464555108573</v>
      </c>
      <c r="L46" s="104"/>
      <c r="M46"/>
    </row>
    <row r="47" spans="1:13" ht="15.75" customHeight="1" x14ac:dyDescent="0.25">
      <c r="A47"/>
      <c r="B47" s="51">
        <v>12</v>
      </c>
      <c r="C47" s="100" t="s">
        <v>59</v>
      </c>
      <c r="D47" s="100"/>
      <c r="E47" s="100"/>
      <c r="F47" s="51">
        <f>'2'!N10</f>
        <v>1800</v>
      </c>
      <c r="G47" s="101">
        <f>'2'!N8</f>
        <v>0.32</v>
      </c>
      <c r="H47" s="102"/>
      <c r="I47" s="52">
        <f>'2'!N46</f>
        <v>0.49853264974183309</v>
      </c>
      <c r="J47" s="52">
        <f>'2'!N44</f>
        <v>897.35876953529953</v>
      </c>
      <c r="K47" s="103">
        <f>'2'!N47</f>
        <v>1.8445708040447826</v>
      </c>
      <c r="L47" s="104"/>
      <c r="M47"/>
    </row>
    <row r="48" spans="1:13" ht="15.75" customHeight="1" x14ac:dyDescent="0.25">
      <c r="A48"/>
      <c r="B48" s="51">
        <v>13</v>
      </c>
      <c r="C48" s="100" t="s">
        <v>60</v>
      </c>
      <c r="D48" s="100"/>
      <c r="E48" s="100"/>
      <c r="F48" s="51">
        <f>'2'!O10</f>
        <v>1200</v>
      </c>
      <c r="G48" s="101">
        <f>'2'!O8</f>
        <v>0.49583333333333002</v>
      </c>
      <c r="H48" s="102"/>
      <c r="I48" s="52">
        <f>'2'!O46</f>
        <v>0.77246595467809565</v>
      </c>
      <c r="J48" s="52">
        <f>'2'!O44</f>
        <v>926.95914561371478</v>
      </c>
      <c r="K48" s="103">
        <f>'2'!O47</f>
        <v>2.8581240323089538</v>
      </c>
      <c r="L48" s="104"/>
      <c r="M48"/>
    </row>
    <row r="49" spans="1:13" ht="15.75" customHeight="1" x14ac:dyDescent="0.25">
      <c r="A49"/>
      <c r="B49" s="51">
        <v>14</v>
      </c>
      <c r="C49" s="100" t="s">
        <v>97</v>
      </c>
      <c r="D49" s="100"/>
      <c r="E49" s="100"/>
      <c r="F49" s="51">
        <f>'2'!P10</f>
        <v>1550</v>
      </c>
      <c r="G49" s="101">
        <f>'2'!P8</f>
        <v>0.18</v>
      </c>
      <c r="H49" s="102"/>
      <c r="I49" s="52">
        <f>'2'!P46</f>
        <v>0.28042461547978109</v>
      </c>
      <c r="J49" s="52">
        <f>'2'!P44</f>
        <v>434.65815399366073</v>
      </c>
      <c r="K49" s="103">
        <f>'2'!P47</f>
        <v>1.03757107727519</v>
      </c>
      <c r="L49" s="104"/>
      <c r="M49"/>
    </row>
    <row r="50" spans="1:13" x14ac:dyDescent="0.25">
      <c r="B50" s="53" t="s">
        <v>35</v>
      </c>
      <c r="C50" s="5"/>
      <c r="D50" s="5"/>
      <c r="E50" s="5"/>
      <c r="F50" s="53">
        <f>SUM(F36:F49)</f>
        <v>31535</v>
      </c>
      <c r="G50" s="5"/>
      <c r="H50" s="5"/>
      <c r="I50" s="5"/>
      <c r="J50" s="54">
        <f>SUM(J36:J49)</f>
        <v>21180.237520008293</v>
      </c>
      <c r="K50" s="29"/>
      <c r="L50" s="30"/>
    </row>
    <row r="51" spans="1:13" ht="18.75" customHeight="1" x14ac:dyDescent="0.25">
      <c r="B51" s="55" t="s">
        <v>96</v>
      </c>
      <c r="C51" s="5"/>
      <c r="D51" s="5"/>
      <c r="E51" s="5"/>
      <c r="F51" s="5"/>
      <c r="G51" s="5"/>
      <c r="H51" s="5"/>
      <c r="I51" s="5"/>
      <c r="J51" s="5"/>
      <c r="K51" s="5"/>
      <c r="L51"/>
      <c r="M51"/>
    </row>
    <row r="52" spans="1:13" ht="18.75" customHeight="1" x14ac:dyDescent="0.3">
      <c r="B52" s="85" t="s">
        <v>95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/>
    </row>
    <row r="53" spans="1:13" ht="18.75" customHeight="1" x14ac:dyDescent="0.3">
      <c r="B53" s="85" t="s">
        <v>94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/>
    </row>
    <row r="54" spans="1:13" ht="18.75" customHeight="1" x14ac:dyDescent="0.3">
      <c r="B54" s="85" t="s">
        <v>93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/>
    </row>
    <row r="55" spans="1:13" ht="18.75" customHeight="1" x14ac:dyDescent="0.3">
      <c r="B55" s="85" t="s">
        <v>92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/>
    </row>
    <row r="56" spans="1:13" ht="18.75" customHeight="1" x14ac:dyDescent="0.3">
      <c r="B56" s="85" t="s">
        <v>91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/>
    </row>
    <row r="57" spans="1:13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3" ht="9" customHeight="1" x14ac:dyDescent="0.25">
      <c r="B58" s="62"/>
      <c r="C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ht="31.9" customHeight="1" x14ac:dyDescent="0.4">
      <c r="B59" s="62"/>
      <c r="C59" s="62"/>
      <c r="D59" s="93" t="s">
        <v>0</v>
      </c>
      <c r="E59" s="93"/>
      <c r="F59" s="93"/>
      <c r="G59" s="93"/>
      <c r="H59" s="93"/>
      <c r="I59" s="93"/>
      <c r="J59" s="93"/>
      <c r="K59" s="93"/>
      <c r="L59" s="93"/>
      <c r="M59" s="93"/>
    </row>
    <row r="60" spans="1:13" ht="21" customHeight="1" x14ac:dyDescent="0.4">
      <c r="B60" s="62"/>
      <c r="C60" s="62"/>
      <c r="D60" s="70" t="s">
        <v>90</v>
      </c>
      <c r="E60" s="70"/>
      <c r="F60" s="70"/>
      <c r="G60" s="70"/>
      <c r="H60" s="70"/>
      <c r="I60" s="70"/>
      <c r="M60"/>
    </row>
    <row r="61" spans="1:13" x14ac:dyDescent="0.25">
      <c r="B61" s="62"/>
      <c r="C61" s="62"/>
    </row>
    <row r="62" spans="1:13" x14ac:dyDescent="0.25">
      <c r="B62" s="62"/>
      <c r="C62" s="62"/>
    </row>
    <row r="63" spans="1:13" ht="21" customHeight="1" x14ac:dyDescent="0.35">
      <c r="B63" s="92" t="s">
        <v>89</v>
      </c>
      <c r="C63" s="92"/>
      <c r="D63" s="92"/>
      <c r="E63" s="92"/>
      <c r="F63" s="92"/>
      <c r="G63" s="92"/>
      <c r="H63" s="92"/>
      <c r="I63" s="92"/>
      <c r="J63" s="92"/>
      <c r="K63" s="92"/>
      <c r="L63" s="92"/>
      <c r="M63"/>
    </row>
    <row r="65" spans="2:12" x14ac:dyDescent="0.25">
      <c r="B65" s="94" t="s">
        <v>88</v>
      </c>
      <c r="C65" s="94"/>
      <c r="D65" s="94"/>
      <c r="E65" s="94"/>
      <c r="F65" s="94"/>
      <c r="G65" s="94"/>
      <c r="H65" s="94"/>
      <c r="I65" s="94"/>
      <c r="J65" s="94"/>
      <c r="K65" s="94"/>
      <c r="L65" s="94"/>
    </row>
    <row r="66" spans="2:12" x14ac:dyDescent="0.25">
      <c r="B66" s="94" t="s">
        <v>87</v>
      </c>
      <c r="C66" s="94"/>
      <c r="D66" s="94"/>
      <c r="E66" s="94"/>
      <c r="F66" s="94"/>
      <c r="G66" s="94"/>
      <c r="H66" s="94"/>
      <c r="I66" s="94"/>
      <c r="J66" s="94"/>
      <c r="K66" s="94"/>
      <c r="L66" s="94"/>
    </row>
    <row r="67" spans="2:12" x14ac:dyDescent="0.25">
      <c r="B67" s="59" t="s">
        <v>86</v>
      </c>
      <c r="C67" s="59"/>
      <c r="D67" s="59"/>
      <c r="E67" s="59"/>
      <c r="F67" s="59"/>
      <c r="G67" s="59"/>
      <c r="H67" s="59"/>
      <c r="I67" s="59"/>
      <c r="J67" s="59"/>
      <c r="K67" s="59"/>
      <c r="L67" s="59"/>
    </row>
    <row r="68" spans="2:12" x14ac:dyDescent="0.25">
      <c r="B68" s="94" t="s">
        <v>85</v>
      </c>
      <c r="C68" s="94"/>
      <c r="D68" s="94"/>
      <c r="E68" s="94"/>
      <c r="F68" s="94"/>
      <c r="G68" s="94"/>
      <c r="H68" s="94"/>
      <c r="I68" s="94"/>
      <c r="J68" s="94"/>
      <c r="K68" s="94"/>
      <c r="L68" s="94"/>
    </row>
    <row r="69" spans="2:12" x14ac:dyDescent="0.25">
      <c r="B69" s="94" t="s">
        <v>84</v>
      </c>
      <c r="C69" s="94"/>
      <c r="D69" s="94"/>
      <c r="E69" s="94"/>
      <c r="F69" s="94"/>
      <c r="G69" s="94"/>
      <c r="H69" s="94"/>
      <c r="I69" s="94"/>
      <c r="J69" s="94"/>
      <c r="K69" s="94"/>
      <c r="L69" s="94"/>
    </row>
    <row r="70" spans="2:12" x14ac:dyDescent="0.25">
      <c r="B70" s="59" t="s">
        <v>83</v>
      </c>
      <c r="C70" s="59"/>
      <c r="D70" s="59"/>
      <c r="E70" s="59"/>
      <c r="F70" s="59"/>
      <c r="G70" s="59"/>
      <c r="H70" s="59"/>
      <c r="I70" s="59"/>
      <c r="J70" s="59"/>
      <c r="K70" s="59"/>
      <c r="L70" s="59"/>
    </row>
    <row r="71" spans="2:12" x14ac:dyDescent="0.25">
      <c r="B71" s="94" t="s">
        <v>82</v>
      </c>
      <c r="C71" s="94"/>
      <c r="D71" s="94"/>
      <c r="E71" s="94"/>
      <c r="F71" s="94"/>
      <c r="G71" s="94"/>
      <c r="H71" s="94"/>
      <c r="I71" s="94"/>
      <c r="J71" s="94"/>
      <c r="K71" s="94"/>
      <c r="L71" s="94"/>
    </row>
    <row r="72" spans="2:12" x14ac:dyDescent="0.25">
      <c r="B72" s="94" t="s">
        <v>81</v>
      </c>
      <c r="C72" s="94"/>
      <c r="D72" s="94"/>
      <c r="E72" s="94"/>
      <c r="F72" s="94"/>
      <c r="G72" s="94"/>
      <c r="H72" s="94"/>
      <c r="I72" s="94"/>
      <c r="J72" s="94"/>
      <c r="K72" s="94"/>
      <c r="L72" s="94"/>
    </row>
    <row r="73" spans="2:12" x14ac:dyDescent="0.25">
      <c r="B73" s="94" t="s">
        <v>80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</row>
    <row r="74" spans="2:12" x14ac:dyDescent="0.25">
      <c r="B74" s="94" t="s">
        <v>79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</row>
    <row r="75" spans="2:12" x14ac:dyDescent="0.25">
      <c r="B75" s="94" t="s">
        <v>78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</row>
    <row r="76" spans="2:12" x14ac:dyDescent="0.25">
      <c r="B76" s="94" t="s">
        <v>77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</row>
    <row r="77" spans="2:12" x14ac:dyDescent="0.25">
      <c r="B77" s="94" t="s">
        <v>76</v>
      </c>
      <c r="C77" s="94"/>
      <c r="D77" s="94"/>
      <c r="E77" s="94"/>
      <c r="F77" s="94"/>
      <c r="G77" s="94"/>
      <c r="H77" s="94"/>
      <c r="I77" s="94"/>
      <c r="J77" s="94"/>
      <c r="K77" s="94"/>
      <c r="L77" s="94"/>
    </row>
    <row r="78" spans="2:12" x14ac:dyDescent="0.25">
      <c r="B78" s="94" t="s">
        <v>75</v>
      </c>
      <c r="C78" s="94"/>
      <c r="D78" s="94"/>
      <c r="E78" s="94"/>
      <c r="F78" s="94"/>
      <c r="G78" s="94"/>
      <c r="H78" s="94"/>
      <c r="I78" s="94"/>
      <c r="J78" s="94"/>
      <c r="K78" s="94"/>
      <c r="L78" s="94"/>
    </row>
    <row r="79" spans="2:12" x14ac:dyDescent="0.25">
      <c r="B79" s="94" t="s">
        <v>74</v>
      </c>
      <c r="C79" s="94"/>
      <c r="D79" s="94"/>
      <c r="E79" s="94"/>
      <c r="F79" s="94"/>
      <c r="G79" s="94"/>
      <c r="H79" s="94"/>
      <c r="I79" s="94"/>
      <c r="J79" s="94"/>
      <c r="K79" s="94"/>
      <c r="L79" s="94"/>
    </row>
    <row r="80" spans="2:12" x14ac:dyDescent="0.25">
      <c r="B80" s="94" t="s">
        <v>73</v>
      </c>
      <c r="C80" s="94"/>
      <c r="D80" s="94"/>
      <c r="E80" s="94"/>
      <c r="F80" s="94"/>
      <c r="G80" s="94"/>
      <c r="H80" s="94"/>
      <c r="I80" s="94"/>
      <c r="J80" s="94"/>
      <c r="K80" s="94"/>
      <c r="L80" s="94"/>
    </row>
    <row r="81" spans="1:12" x14ac:dyDescent="0.25">
      <c r="B81" s="94" t="s">
        <v>72</v>
      </c>
      <c r="C81" s="94"/>
      <c r="D81" s="94"/>
      <c r="E81" s="94"/>
      <c r="F81" s="94"/>
      <c r="G81" s="94"/>
      <c r="H81" s="94"/>
      <c r="I81" s="94"/>
      <c r="J81" s="94"/>
      <c r="K81" s="94"/>
      <c r="L81" s="94"/>
    </row>
    <row r="82" spans="1:12" x14ac:dyDescent="0.25">
      <c r="B82" s="89" t="s">
        <v>71</v>
      </c>
      <c r="C82" s="89"/>
      <c r="D82" s="89"/>
      <c r="E82" s="89"/>
      <c r="F82" s="89"/>
      <c r="G82" s="89"/>
      <c r="H82" s="89"/>
      <c r="I82" s="89"/>
      <c r="J82" s="89"/>
      <c r="K82" s="89"/>
      <c r="L82" s="89"/>
    </row>
    <row r="83" spans="1:12" x14ac:dyDescent="0.25">
      <c r="B83" s="94" t="s">
        <v>70</v>
      </c>
      <c r="C83" s="94"/>
      <c r="D83" s="94"/>
      <c r="E83" s="94"/>
      <c r="F83" s="94"/>
      <c r="G83" s="94"/>
      <c r="H83" s="94"/>
      <c r="I83" s="94"/>
      <c r="J83" s="94"/>
      <c r="K83" s="94"/>
      <c r="L83" s="94"/>
    </row>
    <row r="84" spans="1:12" x14ac:dyDescent="0.25">
      <c r="B84" s="89" t="s">
        <v>69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</row>
    <row r="85" spans="1:12" x14ac:dyDescent="0.25">
      <c r="B85" s="94" t="s">
        <v>68</v>
      </c>
      <c r="C85" s="94"/>
      <c r="D85" s="94"/>
      <c r="E85" s="94"/>
      <c r="F85" s="94"/>
      <c r="G85" s="94"/>
      <c r="H85" s="94"/>
      <c r="I85" s="94"/>
      <c r="J85" s="94"/>
      <c r="K85" s="94"/>
      <c r="L85" s="94"/>
    </row>
    <row r="86" spans="1:12" x14ac:dyDescent="0.25">
      <c r="B86" s="94" t="s">
        <v>67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</row>
    <row r="87" spans="1:12" x14ac:dyDescent="0.25">
      <c r="B87" s="94" t="s">
        <v>66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</row>
    <row r="88" spans="1:12" x14ac:dyDescent="0.25">
      <c r="B88" s="94" t="s">
        <v>65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</row>
    <row r="89" spans="1:12" x14ac:dyDescent="0.25">
      <c r="B89" s="94" t="s">
        <v>64</v>
      </c>
      <c r="C89" s="94"/>
      <c r="D89" s="94"/>
      <c r="E89" s="94"/>
      <c r="F89" s="94"/>
      <c r="G89" s="94"/>
      <c r="H89" s="94"/>
      <c r="I89" s="94"/>
      <c r="J89" s="94"/>
      <c r="K89" s="94"/>
      <c r="L89" s="94"/>
    </row>
    <row r="90" spans="1:12" x14ac:dyDescent="0.25">
      <c r="A90" s="31"/>
      <c r="B90" s="95" t="s">
        <v>63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</row>
    <row r="91" spans="1:12" x14ac:dyDescent="0.25">
      <c r="A91" s="31"/>
      <c r="B91" s="94" t="s">
        <v>62</v>
      </c>
      <c r="C91" s="94"/>
      <c r="D91" s="94"/>
      <c r="E91" s="94"/>
      <c r="F91" s="94"/>
      <c r="G91" s="94"/>
      <c r="H91" s="94"/>
      <c r="I91" s="94"/>
      <c r="J91" s="94"/>
      <c r="K91" s="94"/>
      <c r="L91" s="94"/>
    </row>
    <row r="92" spans="1:12" x14ac:dyDescent="0.25">
      <c r="A92" s="31"/>
      <c r="B92" s="95" t="s">
        <v>61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</row>
    <row r="94" spans="1:12" x14ac:dyDescent="0.25">
      <c r="C94" s="62"/>
      <c r="D94" s="62"/>
      <c r="E94" s="62"/>
      <c r="F94" s="62"/>
      <c r="G94" s="62"/>
      <c r="H94" s="62"/>
      <c r="I94" s="62"/>
    </row>
    <row r="95" spans="1:12" x14ac:dyDescent="0.25">
      <c r="C95" s="62"/>
      <c r="D95" s="62"/>
      <c r="E95" s="62"/>
      <c r="F95" s="62"/>
      <c r="G95" s="62"/>
      <c r="H95" s="62"/>
      <c r="I95" s="62"/>
    </row>
    <row r="96" spans="1:12" x14ac:dyDescent="0.25">
      <c r="C96" s="62"/>
      <c r="D96" s="62"/>
      <c r="E96" s="62"/>
      <c r="F96" s="62"/>
      <c r="G96" s="62"/>
      <c r="H96" s="62"/>
      <c r="I96" s="62"/>
    </row>
    <row r="97" spans="3:13" x14ac:dyDescent="0.25">
      <c r="C97" s="62"/>
      <c r="D97" s="62"/>
      <c r="E97" s="62"/>
      <c r="F97" s="62"/>
      <c r="G97" s="62"/>
      <c r="H97" s="62"/>
      <c r="I97" s="62"/>
    </row>
    <row r="98" spans="3:13" x14ac:dyDescent="0.25">
      <c r="C98" s="62"/>
      <c r="D98" s="62"/>
      <c r="E98" s="62"/>
      <c r="F98" s="62"/>
      <c r="G98" s="62"/>
      <c r="H98" s="62"/>
      <c r="I98" s="62"/>
    </row>
    <row r="99" spans="3:13" x14ac:dyDescent="0.25">
      <c r="C99" s="62"/>
      <c r="D99" s="62"/>
      <c r="E99" s="62"/>
      <c r="F99" s="62"/>
      <c r="G99" s="62"/>
      <c r="H99" s="62"/>
      <c r="I99" s="62"/>
    </row>
    <row r="100" spans="3:13" x14ac:dyDescent="0.25">
      <c r="C100" s="62"/>
      <c r="D100" s="62"/>
      <c r="E100" s="62"/>
      <c r="F100" s="62"/>
      <c r="G100" s="62"/>
      <c r="H100" s="62"/>
      <c r="I100" s="62"/>
    </row>
    <row r="101" spans="3:13" ht="15.6" customHeight="1" x14ac:dyDescent="0.25">
      <c r="C101" s="62"/>
      <c r="D101" s="62"/>
      <c r="E101" s="62"/>
      <c r="F101" s="62"/>
      <c r="G101" s="62"/>
      <c r="H101" s="62"/>
      <c r="I101" s="62"/>
      <c r="M101"/>
    </row>
    <row r="102" spans="3:13" ht="15.6" customHeight="1" x14ac:dyDescent="0.25">
      <c r="C102" s="62"/>
      <c r="D102" s="62"/>
      <c r="E102" s="62"/>
      <c r="F102" s="62"/>
      <c r="G102" s="62"/>
      <c r="H102" s="62"/>
      <c r="I102" s="62"/>
      <c r="M102"/>
    </row>
    <row r="103" spans="3:13" x14ac:dyDescent="0.25">
      <c r="C103" s="62"/>
      <c r="D103" s="62"/>
      <c r="E103" s="62"/>
      <c r="F103" s="62"/>
      <c r="G103" s="62"/>
      <c r="H103" s="62"/>
      <c r="I103" s="62"/>
    </row>
    <row r="109" spans="3:13" ht="15.6" customHeight="1" x14ac:dyDescent="0.25">
      <c r="M109"/>
    </row>
  </sheetData>
  <sheetProtection selectLockedCells="1"/>
  <mergeCells count="123">
    <mergeCell ref="C49:E49"/>
    <mergeCell ref="G49:H49"/>
    <mergeCell ref="K49:L49"/>
    <mergeCell ref="C8:C9"/>
    <mergeCell ref="C47:E47"/>
    <mergeCell ref="G47:H47"/>
    <mergeCell ref="K47:L47"/>
    <mergeCell ref="C48:E48"/>
    <mergeCell ref="G48:H48"/>
    <mergeCell ref="K48:L48"/>
    <mergeCell ref="C45:E45"/>
    <mergeCell ref="G45:H45"/>
    <mergeCell ref="K45:L45"/>
    <mergeCell ref="C46:E46"/>
    <mergeCell ref="G46:H46"/>
    <mergeCell ref="K46:L46"/>
    <mergeCell ref="C43:E43"/>
    <mergeCell ref="G43:H43"/>
    <mergeCell ref="K43:L43"/>
    <mergeCell ref="C44:E44"/>
    <mergeCell ref="G44:H44"/>
    <mergeCell ref="K44:L44"/>
    <mergeCell ref="C41:E41"/>
    <mergeCell ref="G41:H41"/>
    <mergeCell ref="K41:L41"/>
    <mergeCell ref="C42:E42"/>
    <mergeCell ref="G42:H42"/>
    <mergeCell ref="K42:L42"/>
    <mergeCell ref="B82:L82"/>
    <mergeCell ref="B83:L83"/>
    <mergeCell ref="A7:C7"/>
    <mergeCell ref="I7:L7"/>
    <mergeCell ref="B67:L67"/>
    <mergeCell ref="B56:L56"/>
    <mergeCell ref="B52:L52"/>
    <mergeCell ref="B65:L65"/>
    <mergeCell ref="B78:L78"/>
    <mergeCell ref="B66:L66"/>
    <mergeCell ref="J11:L11"/>
    <mergeCell ref="B58:C62"/>
    <mergeCell ref="B19:F19"/>
    <mergeCell ref="C37:E37"/>
    <mergeCell ref="G37:H37"/>
    <mergeCell ref="K37:L37"/>
    <mergeCell ref="B92:L92"/>
    <mergeCell ref="B75:L75"/>
    <mergeCell ref="B76:L76"/>
    <mergeCell ref="B77:L77"/>
    <mergeCell ref="B68:L68"/>
    <mergeCell ref="B69:L69"/>
    <mergeCell ref="B70:L70"/>
    <mergeCell ref="B71:L71"/>
    <mergeCell ref="B72:L72"/>
    <mergeCell ref="B73:L73"/>
    <mergeCell ref="B74:L74"/>
    <mergeCell ref="B79:L79"/>
    <mergeCell ref="B80:L80"/>
    <mergeCell ref="B81:L81"/>
    <mergeCell ref="B91:L91"/>
    <mergeCell ref="B90:L90"/>
    <mergeCell ref="B89:L89"/>
    <mergeCell ref="B84:L84"/>
    <mergeCell ref="B85:L85"/>
    <mergeCell ref="B86:L86"/>
    <mergeCell ref="B87:L87"/>
    <mergeCell ref="B88:L88"/>
    <mergeCell ref="C35:E35"/>
    <mergeCell ref="B63:L63"/>
    <mergeCell ref="B54:L54"/>
    <mergeCell ref="D59:J59"/>
    <mergeCell ref="K59:M59"/>
    <mergeCell ref="E58:M58"/>
    <mergeCell ref="K35:L35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B27:I27"/>
    <mergeCell ref="B23:I23"/>
    <mergeCell ref="B20:I20"/>
    <mergeCell ref="B21:I21"/>
    <mergeCell ref="B22:I22"/>
    <mergeCell ref="B26:I26"/>
    <mergeCell ref="B12:L12"/>
    <mergeCell ref="B13:J13"/>
    <mergeCell ref="B14:J14"/>
    <mergeCell ref="B16:J16"/>
    <mergeCell ref="B15:J15"/>
    <mergeCell ref="B25:I25"/>
    <mergeCell ref="B24:I24"/>
    <mergeCell ref="C94:I103"/>
    <mergeCell ref="A1:L1"/>
    <mergeCell ref="E2:L2"/>
    <mergeCell ref="D60:I6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5:L55"/>
    <mergeCell ref="B53:L53"/>
    <mergeCell ref="F11:G11"/>
    <mergeCell ref="J9:L9"/>
    <mergeCell ref="B2:C6"/>
    <mergeCell ref="E7:G7"/>
    <mergeCell ref="F9:G9"/>
    <mergeCell ref="F10:G10"/>
    <mergeCell ref="F8:G8"/>
    <mergeCell ref="B33:L33"/>
    <mergeCell ref="B32:J32"/>
    <mergeCell ref="B28:J28"/>
    <mergeCell ref="B29:J29"/>
    <mergeCell ref="B30:J30"/>
    <mergeCell ref="B31:J31"/>
  </mergeCells>
  <dataValidations count="3">
    <dataValidation type="custom" showInputMessage="1" showErrorMessage="1" errorTitle="INGRESA EL NOMBRE" error="Ingresa al menos 1 nombre del cliente" sqref="C9" xr:uid="{00000000-0002-0000-0000-000000000000}">
      <formula1>C8&lt;&gt;0</formula1>
    </dataValidation>
    <dataValidation type="custom" showInputMessage="1" showErrorMessage="1" errorTitle="INGRESO APELLIDOS" error="Ingresa los apellidos del cliente" sqref="C10" xr:uid="{00000000-0002-0000-0000-000001000000}">
      <formula1>C9&lt;&gt;0</formula1>
    </dataValidation>
    <dataValidation type="custom" showInputMessage="1" showErrorMessage="1" errorTitle="VERIFICAR NÚMERO DE TELEFONO" error="Verifica que tenga 9 digitos sin espacio" sqref="J8:L8" xr:uid="{00000000-0002-0000-0000-000002000000}">
      <formula1>(LEN(C11)=9)</formula1>
    </dataValidation>
  </dataValidations>
  <printOptions horizontalCentered="1"/>
  <pageMargins left="0.23622047244093999" right="0.23622047244093999" top="0.74803149606299002" bottom="0.74803149606299002" header="0.31496062992126" footer="0.31496062992126"/>
  <pageSetup paperSize="9" scale="71" fitToWidth="2" fitToHeight="2" orientation="portrait" r:id="rId1"/>
  <rowBreaks count="1" manualBreakCount="1">
    <brk id="57" man="1"/>
  </rowBreaks>
  <ignoredErrors>
    <ignoredError sqref="J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U47"/>
  <sheetViews>
    <sheetView topLeftCell="K1" workbookViewId="0">
      <selection activeCell="U8" sqref="U8"/>
    </sheetView>
  </sheetViews>
  <sheetFormatPr baseColWidth="10" defaultColWidth="9.140625" defaultRowHeight="15" x14ac:dyDescent="0.25"/>
  <cols>
    <col min="2" max="2" width="24.7109375" bestFit="1" customWidth="1"/>
    <col min="3" max="3" width="45.85546875" bestFit="1" customWidth="1"/>
    <col min="4" max="4" width="20" bestFit="1" customWidth="1"/>
    <col min="5" max="5" width="30.5703125" bestFit="1" customWidth="1"/>
    <col min="6" max="6" width="35.28515625" bestFit="1" customWidth="1"/>
    <col min="7" max="7" width="37.7109375" bestFit="1" customWidth="1"/>
    <col min="8" max="9" width="34.140625" bestFit="1" customWidth="1"/>
    <col min="10" max="10" width="31.7109375" bestFit="1" customWidth="1"/>
    <col min="11" max="11" width="33" bestFit="1" customWidth="1"/>
    <col min="12" max="12" width="37.7109375" bestFit="1" customWidth="1"/>
    <col min="13" max="13" width="29.42578125" bestFit="1" customWidth="1"/>
    <col min="14" max="14" width="34.140625" bestFit="1" customWidth="1"/>
    <col min="15" max="15" width="36.42578125" bestFit="1" customWidth="1"/>
    <col min="16" max="16" width="25.85546875" bestFit="1" customWidth="1"/>
    <col min="17" max="17" width="10.5703125" bestFit="1" customWidth="1"/>
  </cols>
  <sheetData>
    <row r="3" spans="2:21" x14ac:dyDescent="0.25">
      <c r="B3" s="107" t="s">
        <v>99</v>
      </c>
      <c r="C3" s="108"/>
      <c r="D3" s="108"/>
      <c r="E3" s="108"/>
      <c r="F3" s="108"/>
      <c r="G3" s="108"/>
    </row>
    <row r="5" spans="2:21" x14ac:dyDescent="0.25">
      <c r="B5" s="37" t="s">
        <v>100</v>
      </c>
      <c r="C5" s="36" t="s">
        <v>48</v>
      </c>
      <c r="D5" s="36" t="s">
        <v>49</v>
      </c>
      <c r="E5" s="36" t="s">
        <v>50</v>
      </c>
      <c r="F5" s="36" t="s">
        <v>51</v>
      </c>
      <c r="G5" s="36" t="s">
        <v>52</v>
      </c>
      <c r="H5" s="36" t="s">
        <v>53</v>
      </c>
      <c r="I5" s="36" t="s">
        <v>54</v>
      </c>
      <c r="J5" s="36" t="s">
        <v>55</v>
      </c>
      <c r="K5" s="36" t="s">
        <v>56</v>
      </c>
      <c r="L5" s="36" t="s">
        <v>57</v>
      </c>
      <c r="M5" s="36" t="s">
        <v>58</v>
      </c>
      <c r="N5" s="36" t="s">
        <v>59</v>
      </c>
      <c r="O5" s="36" t="s">
        <v>60</v>
      </c>
      <c r="P5" s="36" t="s">
        <v>97</v>
      </c>
      <c r="Q5" s="36" t="s">
        <v>117</v>
      </c>
    </row>
    <row r="6" spans="2:21" ht="30" x14ac:dyDescent="0.25">
      <c r="B6" t="s">
        <v>101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42">
        <v>3.09</v>
      </c>
      <c r="T6" s="40" t="s">
        <v>115</v>
      </c>
      <c r="U6" s="40" t="s">
        <v>116</v>
      </c>
    </row>
    <row r="7" spans="2:21" x14ac:dyDescent="0.25">
      <c r="B7" t="s">
        <v>102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43">
        <v>13.93</v>
      </c>
      <c r="T7" s="41" t="s">
        <v>18</v>
      </c>
      <c r="U7" s="41">
        <v>288.61450000000002</v>
      </c>
    </row>
    <row r="8" spans="2:21" x14ac:dyDescent="0.25">
      <c r="B8" t="s">
        <v>103</v>
      </c>
      <c r="C8" s="39">
        <v>0.65</v>
      </c>
      <c r="D8" s="39">
        <v>0.85597269624573002</v>
      </c>
      <c r="E8" s="39">
        <v>1.85</v>
      </c>
      <c r="F8" s="39">
        <v>0.5</v>
      </c>
      <c r="G8" s="39">
        <v>0.54</v>
      </c>
      <c r="H8" s="39">
        <v>0.35</v>
      </c>
      <c r="I8" s="39">
        <v>0.28000000000000003</v>
      </c>
      <c r="J8" s="39">
        <v>0.28999999999999998</v>
      </c>
      <c r="K8" s="39">
        <v>0.16</v>
      </c>
      <c r="L8" s="39">
        <v>0.28999999999999998</v>
      </c>
      <c r="M8" s="39">
        <v>0.24761904761904999</v>
      </c>
      <c r="N8" s="39">
        <v>0.32</v>
      </c>
      <c r="O8" s="39">
        <v>0.49583333333333002</v>
      </c>
      <c r="P8" s="39">
        <v>0.18</v>
      </c>
    </row>
    <row r="9" spans="2:21" x14ac:dyDescent="0.25">
      <c r="B9" s="38" t="s">
        <v>104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</row>
    <row r="10" spans="2:21" x14ac:dyDescent="0.25">
      <c r="B10" t="s">
        <v>105</v>
      </c>
      <c r="C10">
        <v>2200</v>
      </c>
      <c r="D10">
        <v>2930</v>
      </c>
      <c r="E10">
        <v>555</v>
      </c>
      <c r="F10">
        <v>1700</v>
      </c>
      <c r="G10">
        <v>4000</v>
      </c>
      <c r="H10">
        <v>1400</v>
      </c>
      <c r="I10">
        <v>2750</v>
      </c>
      <c r="J10">
        <v>1250</v>
      </c>
      <c r="K10">
        <v>1100</v>
      </c>
      <c r="L10">
        <v>2800</v>
      </c>
      <c r="M10">
        <v>6300</v>
      </c>
      <c r="N10">
        <v>1800</v>
      </c>
      <c r="O10">
        <v>1200</v>
      </c>
      <c r="P10">
        <v>1550</v>
      </c>
      <c r="Q10">
        <f>SUM(C10:P10)</f>
        <v>31535</v>
      </c>
    </row>
    <row r="11" spans="2:21" x14ac:dyDescent="0.25">
      <c r="B11" t="s">
        <v>106</v>
      </c>
      <c r="C11" s="39">
        <f t="shared" ref="C11:P11" si="0">C8*C10</f>
        <v>1430</v>
      </c>
      <c r="D11" s="39">
        <f t="shared" si="0"/>
        <v>2507.9999999999891</v>
      </c>
      <c r="E11" s="39">
        <f t="shared" si="0"/>
        <v>1026.75</v>
      </c>
      <c r="F11" s="39">
        <f t="shared" si="0"/>
        <v>850</v>
      </c>
      <c r="G11" s="39">
        <f t="shared" si="0"/>
        <v>2160</v>
      </c>
      <c r="H11" s="39">
        <f t="shared" si="0"/>
        <v>489.99999999999994</v>
      </c>
      <c r="I11" s="39">
        <f t="shared" si="0"/>
        <v>770.00000000000011</v>
      </c>
      <c r="J11" s="39">
        <f t="shared" si="0"/>
        <v>362.5</v>
      </c>
      <c r="K11" s="39">
        <f t="shared" si="0"/>
        <v>176</v>
      </c>
      <c r="L11" s="39">
        <f t="shared" si="0"/>
        <v>812</v>
      </c>
      <c r="M11" s="39">
        <f t="shared" si="0"/>
        <v>1560.000000000015</v>
      </c>
      <c r="N11" s="39">
        <f t="shared" si="0"/>
        <v>576</v>
      </c>
      <c r="O11" s="39">
        <f t="shared" si="0"/>
        <v>594.99999999999602</v>
      </c>
      <c r="P11" s="39">
        <f t="shared" si="0"/>
        <v>279</v>
      </c>
      <c r="Q11" s="47">
        <f>SUM(C11:P11)</f>
        <v>13595.25</v>
      </c>
    </row>
    <row r="12" spans="2:21" x14ac:dyDescent="0.25">
      <c r="B12" s="38" t="s">
        <v>107</v>
      </c>
      <c r="C12" s="39">
        <f t="shared" ref="C12:P12" si="1">C10*C9</f>
        <v>0</v>
      </c>
      <c r="D12" s="39">
        <f t="shared" si="1"/>
        <v>0</v>
      </c>
      <c r="E12" s="39">
        <f t="shared" si="1"/>
        <v>0</v>
      </c>
      <c r="F12" s="39">
        <f t="shared" si="1"/>
        <v>0</v>
      </c>
      <c r="G12" s="39">
        <f t="shared" si="1"/>
        <v>0</v>
      </c>
      <c r="H12" s="39">
        <f t="shared" si="1"/>
        <v>0</v>
      </c>
      <c r="I12" s="39">
        <f t="shared" si="1"/>
        <v>0</v>
      </c>
      <c r="J12" s="39">
        <f t="shared" si="1"/>
        <v>0</v>
      </c>
      <c r="K12" s="39">
        <f t="shared" si="1"/>
        <v>0</v>
      </c>
      <c r="L12" s="39">
        <f t="shared" si="1"/>
        <v>0</v>
      </c>
      <c r="M12" s="39">
        <f t="shared" si="1"/>
        <v>0</v>
      </c>
      <c r="N12" s="39">
        <f t="shared" si="1"/>
        <v>0</v>
      </c>
      <c r="O12" s="39">
        <f t="shared" si="1"/>
        <v>0</v>
      </c>
      <c r="P12" s="39">
        <f t="shared" si="1"/>
        <v>0</v>
      </c>
      <c r="Q12" s="47">
        <f>SUM(C12:P12)</f>
        <v>0</v>
      </c>
    </row>
    <row r="13" spans="2:21" x14ac:dyDescent="0.25">
      <c r="B13" t="s">
        <v>108</v>
      </c>
      <c r="C13" s="44">
        <f>C11/Q11</f>
        <v>0.10518379581103694</v>
      </c>
      <c r="D13" s="44">
        <f>D11/Q11</f>
        <v>0.18447619573012553</v>
      </c>
      <c r="E13" s="44">
        <f>E11/Q11</f>
        <v>7.5522700943344179E-2</v>
      </c>
      <c r="F13" s="44">
        <f>F11/Q11</f>
        <v>6.2521836670896086E-2</v>
      </c>
      <c r="G13" s="44">
        <f>G11/Q11</f>
        <v>0.15887902024604181</v>
      </c>
      <c r="H13" s="44">
        <f>H11/Q11</f>
        <v>3.6041999963222444E-2</v>
      </c>
      <c r="I13" s="44">
        <f>I11/Q11</f>
        <v>5.6637428513635284E-2</v>
      </c>
      <c r="J13" s="44">
        <f>J11/Q11</f>
        <v>2.6663724462588037E-2</v>
      </c>
      <c r="K13" s="44">
        <f>K11/Q11</f>
        <v>1.2945697945973778E-2</v>
      </c>
      <c r="L13" s="44">
        <f>L11/Q11</f>
        <v>5.9726742796197198E-2</v>
      </c>
      <c r="M13" s="44">
        <f>M11/Q11</f>
        <v>0.11474595906658686</v>
      </c>
      <c r="N13" s="44">
        <f>N11/Q11</f>
        <v>4.2367738732277817E-2</v>
      </c>
      <c r="O13" s="44">
        <f>O11/Q11</f>
        <v>4.3765285669626966E-2</v>
      </c>
      <c r="P13" s="44">
        <f>P11/Q11</f>
        <v>2.0521873448447067E-2</v>
      </c>
    </row>
    <row r="14" spans="2:21" x14ac:dyDescent="0.25">
      <c r="B14" t="s">
        <v>109</v>
      </c>
      <c r="C14" s="39">
        <f>Q14*C13</f>
        <v>253.72855866056159</v>
      </c>
      <c r="D14" s="39">
        <f>Q14*D13</f>
        <v>445.00085672775219</v>
      </c>
      <c r="E14" s="39">
        <f>Q14*E13</f>
        <v>182.17887944386825</v>
      </c>
      <c r="F14" s="39">
        <f>Q14*F13</f>
        <v>150.81767472830583</v>
      </c>
      <c r="G14" s="39">
        <f>Q14*G13</f>
        <v>383.25432636840071</v>
      </c>
      <c r="H14" s="39">
        <f>Q14*H13</f>
        <v>86.941953666905704</v>
      </c>
      <c r="I14" s="39">
        <f>Q14*I13</f>
        <v>136.6230700479947</v>
      </c>
      <c r="J14" s="39">
        <f>Q14*J13</f>
        <v>64.319302457659845</v>
      </c>
      <c r="K14" s="39">
        <f>Q14*K13</f>
        <v>31.228130296684501</v>
      </c>
      <c r="L14" s="39">
        <f>Q14*L13</f>
        <v>144.07523750515804</v>
      </c>
      <c r="M14" s="39">
        <f>Q14*M13</f>
        <v>276.79479126606981</v>
      </c>
      <c r="N14" s="39">
        <f>Q14*N13</f>
        <v>102.20115369824019</v>
      </c>
      <c r="O14" s="39">
        <f>Q14*O13</f>
        <v>105.57237230981337</v>
      </c>
      <c r="P14" s="39">
        <f>Q14*P13</f>
        <v>49.503683822585089</v>
      </c>
      <c r="Q14" s="47">
        <f>IF(Q7&lt;1, U7*0.6, U7*0.6*Q7)</f>
        <v>2412.2399909999999</v>
      </c>
    </row>
    <row r="15" spans="2:21" x14ac:dyDescent="0.25">
      <c r="B15" t="s">
        <v>110</v>
      </c>
      <c r="C15" s="39">
        <f t="shared" ref="C15:P15" si="2">C11+C14</f>
        <v>1683.7285586605617</v>
      </c>
      <c r="D15" s="39">
        <f t="shared" si="2"/>
        <v>2953.0008567277414</v>
      </c>
      <c r="E15" s="39">
        <f t="shared" si="2"/>
        <v>1208.9288794438683</v>
      </c>
      <c r="F15" s="39">
        <f t="shared" si="2"/>
        <v>1000.8176747283059</v>
      </c>
      <c r="G15" s="39">
        <f t="shared" si="2"/>
        <v>2543.2543263684006</v>
      </c>
      <c r="H15" s="39">
        <f t="shared" si="2"/>
        <v>576.94195366690565</v>
      </c>
      <c r="I15" s="39">
        <f t="shared" si="2"/>
        <v>906.62307004799482</v>
      </c>
      <c r="J15" s="39">
        <f t="shared" si="2"/>
        <v>426.81930245765983</v>
      </c>
      <c r="K15" s="39">
        <f t="shared" si="2"/>
        <v>207.2281302966845</v>
      </c>
      <c r="L15" s="39">
        <f t="shared" si="2"/>
        <v>956.07523750515804</v>
      </c>
      <c r="M15" s="39">
        <f t="shared" si="2"/>
        <v>1836.7947912660848</v>
      </c>
      <c r="N15" s="39">
        <f t="shared" si="2"/>
        <v>678.2011536982402</v>
      </c>
      <c r="O15" s="39">
        <f t="shared" si="2"/>
        <v>700.57237230980945</v>
      </c>
      <c r="P15" s="39">
        <f t="shared" si="2"/>
        <v>328.50368382258512</v>
      </c>
      <c r="Q15" s="47">
        <f>SUM(C15:P15)</f>
        <v>16007.489990999999</v>
      </c>
    </row>
    <row r="16" spans="2:21" x14ac:dyDescent="0.25">
      <c r="B16" s="38" t="s">
        <v>111</v>
      </c>
      <c r="C16" s="39">
        <f t="shared" ref="C16:P16" si="3">C12+C14</f>
        <v>253.72855866056159</v>
      </c>
      <c r="D16" s="39">
        <f t="shared" si="3"/>
        <v>445.00085672775219</v>
      </c>
      <c r="E16" s="39">
        <f t="shared" si="3"/>
        <v>182.17887944386825</v>
      </c>
      <c r="F16" s="39">
        <f t="shared" si="3"/>
        <v>150.81767472830583</v>
      </c>
      <c r="G16" s="39">
        <f t="shared" si="3"/>
        <v>383.25432636840071</v>
      </c>
      <c r="H16" s="39">
        <f t="shared" si="3"/>
        <v>86.941953666905704</v>
      </c>
      <c r="I16" s="39">
        <f t="shared" si="3"/>
        <v>136.6230700479947</v>
      </c>
      <c r="J16" s="39">
        <f t="shared" si="3"/>
        <v>64.319302457659845</v>
      </c>
      <c r="K16" s="39">
        <f t="shared" si="3"/>
        <v>31.228130296684501</v>
      </c>
      <c r="L16" s="39">
        <f t="shared" si="3"/>
        <v>144.07523750515804</v>
      </c>
      <c r="M16" s="39">
        <f t="shared" si="3"/>
        <v>276.79479126606981</v>
      </c>
      <c r="N16" s="39">
        <f t="shared" si="3"/>
        <v>102.20115369824019</v>
      </c>
      <c r="O16" s="39">
        <f t="shared" si="3"/>
        <v>105.57237230981337</v>
      </c>
      <c r="P16" s="39">
        <f t="shared" si="3"/>
        <v>49.503683822585089</v>
      </c>
      <c r="Q16" s="47">
        <f>SUM(C16:P16)</f>
        <v>2412.2399909999995</v>
      </c>
    </row>
    <row r="17" spans="2:17" x14ac:dyDescent="0.25">
      <c r="B17" t="s">
        <v>112</v>
      </c>
      <c r="C17" s="39">
        <f>IF(Q11&gt;5000,100*C13,50*C13)</f>
        <v>10.518379581103694</v>
      </c>
      <c r="D17" s="39">
        <f>IF(Q11&gt;5000,100*D13,50*D13)</f>
        <v>18.447619573012553</v>
      </c>
      <c r="E17" s="39">
        <f>IF(Q11&gt;5000,100*E13,50*E13)</f>
        <v>7.5522700943344176</v>
      </c>
      <c r="F17" s="39">
        <f>IF(Q11&gt;5000,100*F13,50*F13)</f>
        <v>6.2521836670896089</v>
      </c>
      <c r="G17" s="39">
        <f>IF(Q11&gt;5000,100*G13,50*G13)</f>
        <v>15.88790202460418</v>
      </c>
      <c r="H17" s="39">
        <f>IF(Q11&gt;5000,100*H13,50*H13)</f>
        <v>3.6041999963222446</v>
      </c>
      <c r="I17" s="39">
        <f>IF(Q11&gt;5000,100*I13,50*I13)</f>
        <v>5.6637428513635282</v>
      </c>
      <c r="J17" s="39">
        <f>IF(Q11&gt;5000,100*J13,50*J13)</f>
        <v>2.6663724462588037</v>
      </c>
      <c r="K17" s="39">
        <f>IF(Q11&gt;5000,100*K13,50*K13)</f>
        <v>1.2945697945973778</v>
      </c>
      <c r="L17" s="39">
        <f>IF(Q11&gt;5000,100*L13,50*L13)</f>
        <v>5.9726742796197199</v>
      </c>
      <c r="M17" s="39">
        <f>IF(Q11&gt;5000,100*M13,50*M13)</f>
        <v>11.474595906658685</v>
      </c>
      <c r="N17" s="39">
        <f>IF(Q11&gt;5000,100*N13,50*N13)</f>
        <v>4.236773873227782</v>
      </c>
      <c r="O17" s="39">
        <f>IF(Q11&gt;5000,100*O13,50*O13)</f>
        <v>4.3765285669626968</v>
      </c>
      <c r="P17" s="39">
        <f>IF(Q11&gt;5000,100*P13,50*P13)</f>
        <v>2.0521873448447066</v>
      </c>
      <c r="Q17" s="47">
        <f>SUM(C17:P17)</f>
        <v>99.999999999999986</v>
      </c>
    </row>
    <row r="18" spans="2:17" x14ac:dyDescent="0.25">
      <c r="B18" t="s">
        <v>113</v>
      </c>
      <c r="C18" s="39">
        <f t="shared" ref="C18:P18" si="4">C15+C17</f>
        <v>1694.2469382416655</v>
      </c>
      <c r="D18" s="39">
        <f t="shared" si="4"/>
        <v>2971.448476300754</v>
      </c>
      <c r="E18" s="39">
        <f t="shared" si="4"/>
        <v>1216.4811495382028</v>
      </c>
      <c r="F18" s="39">
        <f t="shared" si="4"/>
        <v>1007.0698583953955</v>
      </c>
      <c r="G18" s="39">
        <f t="shared" si="4"/>
        <v>2559.1422283930046</v>
      </c>
      <c r="H18" s="39">
        <f t="shared" si="4"/>
        <v>580.54615366322787</v>
      </c>
      <c r="I18" s="39">
        <f t="shared" si="4"/>
        <v>912.28681289935832</v>
      </c>
      <c r="J18" s="39">
        <f t="shared" si="4"/>
        <v>429.48567490391861</v>
      </c>
      <c r="K18" s="39">
        <f t="shared" si="4"/>
        <v>208.52270009128188</v>
      </c>
      <c r="L18" s="39">
        <f t="shared" si="4"/>
        <v>962.04791178477774</v>
      </c>
      <c r="M18" s="39">
        <f t="shared" si="4"/>
        <v>1848.2693871727433</v>
      </c>
      <c r="N18" s="39">
        <f t="shared" si="4"/>
        <v>682.43792757146798</v>
      </c>
      <c r="O18" s="39">
        <f t="shared" si="4"/>
        <v>704.9489008767722</v>
      </c>
      <c r="P18" s="39">
        <f t="shared" si="4"/>
        <v>330.55587116742981</v>
      </c>
      <c r="Q18" s="47">
        <f>SUM(C18:P18)</f>
        <v>16107.489990999999</v>
      </c>
    </row>
    <row r="19" spans="2:17" x14ac:dyDescent="0.25">
      <c r="B19" s="38" t="s">
        <v>114</v>
      </c>
      <c r="C19" s="39">
        <f t="shared" ref="C19:P19" si="5">C16+C17</f>
        <v>264.2469382416653</v>
      </c>
      <c r="D19" s="39">
        <f t="shared" si="5"/>
        <v>463.44847630076475</v>
      </c>
      <c r="E19" s="39">
        <f t="shared" si="5"/>
        <v>189.73114953820266</v>
      </c>
      <c r="F19" s="39">
        <f t="shared" si="5"/>
        <v>157.06985839539544</v>
      </c>
      <c r="G19" s="39">
        <f t="shared" si="5"/>
        <v>399.14222839300487</v>
      </c>
      <c r="H19" s="39">
        <f t="shared" si="5"/>
        <v>90.546153663227955</v>
      </c>
      <c r="I19" s="39">
        <f t="shared" si="5"/>
        <v>142.28681289935824</v>
      </c>
      <c r="J19" s="39">
        <f t="shared" si="5"/>
        <v>66.98567490391865</v>
      </c>
      <c r="K19" s="39">
        <f t="shared" si="5"/>
        <v>32.522700091281877</v>
      </c>
      <c r="L19" s="39">
        <f t="shared" si="5"/>
        <v>150.04791178477777</v>
      </c>
      <c r="M19" s="39">
        <f t="shared" si="5"/>
        <v>288.2693871727285</v>
      </c>
      <c r="N19" s="39">
        <f t="shared" si="5"/>
        <v>106.43792757146797</v>
      </c>
      <c r="O19" s="39">
        <f t="shared" si="5"/>
        <v>109.94890087677607</v>
      </c>
      <c r="P19" s="39">
        <f t="shared" si="5"/>
        <v>51.555871167429792</v>
      </c>
      <c r="Q19" s="47">
        <f>SUM(C19:P19)</f>
        <v>2512.2399909999995</v>
      </c>
    </row>
    <row r="23" spans="2:17" x14ac:dyDescent="0.25">
      <c r="B23" s="107" t="s">
        <v>124</v>
      </c>
      <c r="C23" s="108"/>
      <c r="D23" s="108"/>
      <c r="E23" s="108"/>
    </row>
    <row r="26" spans="2:17" x14ac:dyDescent="0.25">
      <c r="B26" t="s">
        <v>125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f t="shared" ref="Q26:Q31" si="6">SUM(C26:P26)</f>
        <v>0</v>
      </c>
    </row>
    <row r="27" spans="2:17" x14ac:dyDescent="0.25"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4">
        <f t="shared" si="6"/>
        <v>0</v>
      </c>
    </row>
    <row r="28" spans="2:17" x14ac:dyDescent="0.25">
      <c r="B28" t="s">
        <v>118</v>
      </c>
      <c r="C28" s="39">
        <f t="shared" ref="C28:P28" si="7">MAX(C19,C18)*C27</f>
        <v>0</v>
      </c>
      <c r="D28" s="39">
        <f t="shared" si="7"/>
        <v>0</v>
      </c>
      <c r="E28" s="39">
        <f t="shared" si="7"/>
        <v>0</v>
      </c>
      <c r="F28" s="39">
        <f t="shared" si="7"/>
        <v>0</v>
      </c>
      <c r="G28" s="39">
        <f t="shared" si="7"/>
        <v>0</v>
      </c>
      <c r="H28" s="39">
        <f t="shared" si="7"/>
        <v>0</v>
      </c>
      <c r="I28" s="39">
        <f t="shared" si="7"/>
        <v>0</v>
      </c>
      <c r="J28" s="39">
        <f t="shared" si="7"/>
        <v>0</v>
      </c>
      <c r="K28" s="39">
        <f t="shared" si="7"/>
        <v>0</v>
      </c>
      <c r="L28" s="39">
        <f t="shared" si="7"/>
        <v>0</v>
      </c>
      <c r="M28" s="39">
        <f t="shared" si="7"/>
        <v>0</v>
      </c>
      <c r="N28" s="39">
        <f t="shared" si="7"/>
        <v>0</v>
      </c>
      <c r="O28" s="39">
        <f t="shared" si="7"/>
        <v>0</v>
      </c>
      <c r="P28" s="39">
        <f t="shared" si="7"/>
        <v>0</v>
      </c>
      <c r="Q28" s="39">
        <f t="shared" si="6"/>
        <v>0</v>
      </c>
    </row>
    <row r="29" spans="2:17" x14ac:dyDescent="0.25">
      <c r="B29" t="s">
        <v>30</v>
      </c>
      <c r="C29" s="39">
        <f t="shared" ref="C29:P29" si="8">0.16*(MAX(C19,C18)+C28)</f>
        <v>271.07951011866646</v>
      </c>
      <c r="D29" s="39">
        <f t="shared" si="8"/>
        <v>475.43175620812065</v>
      </c>
      <c r="E29" s="39">
        <f t="shared" si="8"/>
        <v>194.63698392611244</v>
      </c>
      <c r="F29" s="39">
        <f t="shared" si="8"/>
        <v>161.13117734326329</v>
      </c>
      <c r="G29" s="39">
        <f t="shared" si="8"/>
        <v>409.46275654288075</v>
      </c>
      <c r="H29" s="39">
        <f t="shared" si="8"/>
        <v>92.887384586116454</v>
      </c>
      <c r="I29" s="39">
        <f t="shared" si="8"/>
        <v>145.96589006389735</v>
      </c>
      <c r="J29" s="39">
        <f t="shared" si="8"/>
        <v>68.717707984626983</v>
      </c>
      <c r="K29" s="39">
        <f t="shared" si="8"/>
        <v>33.363632014605102</v>
      </c>
      <c r="L29" s="39">
        <f t="shared" si="8"/>
        <v>153.92766588556444</v>
      </c>
      <c r="M29" s="39">
        <f t="shared" si="8"/>
        <v>295.72310194763895</v>
      </c>
      <c r="N29" s="39">
        <f t="shared" si="8"/>
        <v>109.19006841143488</v>
      </c>
      <c r="O29" s="39">
        <f t="shared" si="8"/>
        <v>112.79182414028355</v>
      </c>
      <c r="P29" s="39">
        <f t="shared" si="8"/>
        <v>52.88893938678877</v>
      </c>
      <c r="Q29" s="39">
        <f t="shared" si="6"/>
        <v>2577.1983985600004</v>
      </c>
    </row>
    <row r="30" spans="2:17" x14ac:dyDescent="0.25">
      <c r="B30" t="s">
        <v>31</v>
      </c>
      <c r="C30" s="39">
        <f t="shared" ref="C30:P30" si="9">0.02*(MAX(C19,C18)+C28)</f>
        <v>33.884938764833308</v>
      </c>
      <c r="D30" s="39">
        <f t="shared" si="9"/>
        <v>59.428969526015081</v>
      </c>
      <c r="E30" s="39">
        <f t="shared" si="9"/>
        <v>24.329622990764054</v>
      </c>
      <c r="F30" s="39">
        <f t="shared" si="9"/>
        <v>20.141397167907911</v>
      </c>
      <c r="G30" s="39">
        <f t="shared" si="9"/>
        <v>51.182844567860094</v>
      </c>
      <c r="H30" s="39">
        <f t="shared" si="9"/>
        <v>11.610923073264557</v>
      </c>
      <c r="I30" s="39">
        <f t="shared" si="9"/>
        <v>18.245736257987168</v>
      </c>
      <c r="J30" s="39">
        <f t="shared" si="9"/>
        <v>8.5897134980783729</v>
      </c>
      <c r="K30" s="39">
        <f t="shared" si="9"/>
        <v>4.1704540018256377</v>
      </c>
      <c r="L30" s="39">
        <f t="shared" si="9"/>
        <v>19.240958235695555</v>
      </c>
      <c r="M30" s="39">
        <f t="shared" si="9"/>
        <v>36.965387743454869</v>
      </c>
      <c r="N30" s="39">
        <f t="shared" si="9"/>
        <v>13.64875855142936</v>
      </c>
      <c r="O30" s="39">
        <f t="shared" si="9"/>
        <v>14.098978017535444</v>
      </c>
      <c r="P30" s="39">
        <f t="shared" si="9"/>
        <v>6.6111174233485963</v>
      </c>
      <c r="Q30" s="39">
        <f t="shared" si="6"/>
        <v>322.14979982000006</v>
      </c>
    </row>
    <row r="31" spans="2:17" x14ac:dyDescent="0.25">
      <c r="B31" t="s">
        <v>119</v>
      </c>
      <c r="C31" s="39">
        <f t="shared" ref="C31:P31" si="10">0.035*(MAX(C18,C19) +C28+C29+C30)</f>
        <v>69.972398549380799</v>
      </c>
      <c r="D31" s="39">
        <f t="shared" si="10"/>
        <v>122.72082207122115</v>
      </c>
      <c r="E31" s="39">
        <f t="shared" si="10"/>
        <v>50.240671475927783</v>
      </c>
      <c r="F31" s="39">
        <f t="shared" si="10"/>
        <v>41.591985151729837</v>
      </c>
      <c r="G31" s="39">
        <f t="shared" si="10"/>
        <v>105.69257403263111</v>
      </c>
      <c r="H31" s="39">
        <f t="shared" si="10"/>
        <v>23.976556146291312</v>
      </c>
      <c r="I31" s="39">
        <f t="shared" si="10"/>
        <v>37.677445372743499</v>
      </c>
      <c r="J31" s="39">
        <f t="shared" si="10"/>
        <v>17.73775837353184</v>
      </c>
      <c r="K31" s="39">
        <f t="shared" si="10"/>
        <v>8.6119875137699431</v>
      </c>
      <c r="L31" s="39">
        <f t="shared" si="10"/>
        <v>39.732578756711327</v>
      </c>
      <c r="M31" s="39">
        <f t="shared" si="10"/>
        <v>76.33352569023431</v>
      </c>
      <c r="N31" s="39">
        <f t="shared" si="10"/>
        <v>28.18468640870163</v>
      </c>
      <c r="O31" s="39">
        <f t="shared" si="10"/>
        <v>29.114389606210693</v>
      </c>
      <c r="P31" s="39">
        <f t="shared" si="10"/>
        <v>13.651957479214854</v>
      </c>
      <c r="Q31" s="39">
        <f t="shared" si="6"/>
        <v>665.23933662830007</v>
      </c>
    </row>
    <row r="32" spans="2:17" x14ac:dyDescent="0.25">
      <c r="B32" t="s">
        <v>35</v>
      </c>
      <c r="C32" s="39">
        <f t="shared" ref="C32:Q32" si="11">SUM(C28:C31)</f>
        <v>374.93684743288054</v>
      </c>
      <c r="D32" s="39">
        <f t="shared" si="11"/>
        <v>657.58154780535688</v>
      </c>
      <c r="E32" s="39">
        <f t="shared" si="11"/>
        <v>269.20727839280426</v>
      </c>
      <c r="F32" s="39">
        <f t="shared" si="11"/>
        <v>222.86455966290103</v>
      </c>
      <c r="G32" s="39">
        <f t="shared" si="11"/>
        <v>566.33817514337193</v>
      </c>
      <c r="H32" s="39">
        <f t="shared" si="11"/>
        <v>128.47486380567233</v>
      </c>
      <c r="I32" s="39">
        <f t="shared" si="11"/>
        <v>201.88907169462803</v>
      </c>
      <c r="J32" s="39">
        <f t="shared" si="11"/>
        <v>95.045179856237183</v>
      </c>
      <c r="K32" s="39">
        <f t="shared" si="11"/>
        <v>46.146073530200681</v>
      </c>
      <c r="L32" s="39">
        <f t="shared" si="11"/>
        <v>212.90120287797131</v>
      </c>
      <c r="M32" s="39">
        <f t="shared" si="11"/>
        <v>409.02201538132812</v>
      </c>
      <c r="N32" s="39">
        <f t="shared" si="11"/>
        <v>151.02351337156585</v>
      </c>
      <c r="O32" s="39">
        <f t="shared" si="11"/>
        <v>156.00519176402969</v>
      </c>
      <c r="P32" s="39">
        <f t="shared" si="11"/>
        <v>73.152014289352223</v>
      </c>
      <c r="Q32" s="39">
        <f t="shared" si="11"/>
        <v>3564.5875350083006</v>
      </c>
    </row>
    <row r="37" spans="2:17" x14ac:dyDescent="0.25">
      <c r="B37" s="107" t="s">
        <v>126</v>
      </c>
      <c r="C37" s="108"/>
      <c r="D37" s="108"/>
      <c r="E37" s="108"/>
    </row>
    <row r="40" spans="2:17" x14ac:dyDescent="0.25">
      <c r="B40" t="s">
        <v>120</v>
      </c>
      <c r="C40" s="39">
        <f>C13*Q40</f>
        <v>169.15237244037442</v>
      </c>
      <c r="D40" s="39">
        <f>D13*Q40</f>
        <v>296.66723781850158</v>
      </c>
      <c r="E40" s="39">
        <f>E13*Q40</f>
        <v>121.4525862959122</v>
      </c>
      <c r="F40" s="39">
        <f>F13*Q40</f>
        <v>100.54511648553725</v>
      </c>
      <c r="G40" s="39">
        <f>G13*Q40</f>
        <v>255.50288424560051</v>
      </c>
      <c r="H40" s="39">
        <f>H13*Q40</f>
        <v>57.961302444603817</v>
      </c>
      <c r="I40" s="39">
        <f>I13*Q40</f>
        <v>91.082046698663163</v>
      </c>
      <c r="J40" s="39">
        <f>J13*Q40</f>
        <v>42.879534971773239</v>
      </c>
      <c r="K40" s="39">
        <f>K13*Q40</f>
        <v>20.818753531123008</v>
      </c>
      <c r="L40" s="39">
        <f>L13*Q40</f>
        <v>96.050158336772043</v>
      </c>
      <c r="M40" s="39">
        <f>M13*Q40</f>
        <v>184.5298608440466</v>
      </c>
      <c r="N40" s="39">
        <f>N13*Q40</f>
        <v>68.13410246549347</v>
      </c>
      <c r="O40" s="39">
        <f>O13*Q40</f>
        <v>70.381581539875597</v>
      </c>
      <c r="P40" s="39">
        <f>P13*Q40</f>
        <v>33.0024558817234</v>
      </c>
      <c r="Q40" s="39">
        <f>IF(Q7&lt;1, U7*0.4,U7*0.4*Q7)</f>
        <v>1608.1599940000003</v>
      </c>
    </row>
    <row r="41" spans="2:17" x14ac:dyDescent="0.25">
      <c r="B41" s="108"/>
      <c r="C41" s="108"/>
      <c r="D41" s="108"/>
      <c r="E41" s="108"/>
    </row>
    <row r="43" spans="2:17" x14ac:dyDescent="0.25">
      <c r="B43" t="s">
        <v>120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56</v>
      </c>
      <c r="L43" t="s">
        <v>57</v>
      </c>
      <c r="M43" t="s">
        <v>58</v>
      </c>
      <c r="N43" t="s">
        <v>59</v>
      </c>
      <c r="O43" t="s">
        <v>60</v>
      </c>
      <c r="P43" t="s">
        <v>97</v>
      </c>
      <c r="Q43" t="s">
        <v>117</v>
      </c>
    </row>
    <row r="44" spans="2:17" x14ac:dyDescent="0.25">
      <c r="B44" t="s">
        <v>121</v>
      </c>
      <c r="C44" s="39">
        <f t="shared" ref="C44:P44" si="12">SUM(C15,C40,C32,(C26))</f>
        <v>2227.8177785338166</v>
      </c>
      <c r="D44" s="39">
        <f t="shared" si="12"/>
        <v>3907.2496423516</v>
      </c>
      <c r="E44" s="39">
        <f t="shared" si="12"/>
        <v>1599.5887441325847</v>
      </c>
      <c r="F44" s="39">
        <f t="shared" si="12"/>
        <v>1324.2273508767441</v>
      </c>
      <c r="G44" s="39">
        <f t="shared" si="12"/>
        <v>3365.0953857573732</v>
      </c>
      <c r="H44" s="39">
        <f t="shared" si="12"/>
        <v>763.37811991718172</v>
      </c>
      <c r="I44" s="39">
        <f t="shared" si="12"/>
        <v>1199.594188441286</v>
      </c>
      <c r="J44" s="39">
        <f t="shared" si="12"/>
        <v>564.74401728567022</v>
      </c>
      <c r="K44" s="39">
        <f t="shared" si="12"/>
        <v>274.19295735800819</v>
      </c>
      <c r="L44" s="39">
        <f t="shared" si="12"/>
        <v>1265.0265987199016</v>
      </c>
      <c r="M44" s="39">
        <f t="shared" si="12"/>
        <v>2430.3466674914594</v>
      </c>
      <c r="N44" s="39">
        <f t="shared" si="12"/>
        <v>897.35876953529953</v>
      </c>
      <c r="O44" s="39">
        <f t="shared" si="12"/>
        <v>926.95914561371478</v>
      </c>
      <c r="P44" s="39">
        <f t="shared" si="12"/>
        <v>434.65815399366073</v>
      </c>
      <c r="Q44" s="39">
        <f>SUM(C44:P44)</f>
        <v>21180.237520008293</v>
      </c>
    </row>
    <row r="45" spans="2:17" x14ac:dyDescent="0.25">
      <c r="B45" t="s">
        <v>44</v>
      </c>
      <c r="C45">
        <v>2200</v>
      </c>
      <c r="D45">
        <v>2930</v>
      </c>
      <c r="E45">
        <v>555</v>
      </c>
      <c r="F45">
        <v>1700</v>
      </c>
      <c r="G45">
        <v>4000</v>
      </c>
      <c r="H45">
        <v>1400</v>
      </c>
      <c r="I45">
        <v>2750</v>
      </c>
      <c r="J45">
        <v>1250</v>
      </c>
      <c r="K45">
        <v>1100</v>
      </c>
      <c r="L45">
        <v>2800</v>
      </c>
      <c r="M45">
        <v>6300</v>
      </c>
      <c r="N45">
        <v>1800</v>
      </c>
      <c r="O45">
        <v>1200</v>
      </c>
      <c r="P45">
        <v>1550</v>
      </c>
    </row>
    <row r="46" spans="2:17" x14ac:dyDescent="0.25">
      <c r="B46" t="s">
        <v>122</v>
      </c>
      <c r="C46" s="39">
        <f t="shared" ref="C46:P46" si="13">SUM(C44/C45)</f>
        <v>1.0126444447880985</v>
      </c>
      <c r="D46" s="39">
        <f t="shared" si="13"/>
        <v>1.3335323011438909</v>
      </c>
      <c r="E46" s="39">
        <f t="shared" si="13"/>
        <v>2.8821418813199724</v>
      </c>
      <c r="F46" s="39">
        <f t="shared" si="13"/>
        <v>0.77895726522161424</v>
      </c>
      <c r="G46" s="39">
        <f t="shared" si="13"/>
        <v>0.84127384643934333</v>
      </c>
      <c r="H46" s="39">
        <f t="shared" si="13"/>
        <v>0.5452700856551298</v>
      </c>
      <c r="I46" s="39">
        <f t="shared" si="13"/>
        <v>0.43621606852410399</v>
      </c>
      <c r="J46" s="39">
        <f t="shared" si="13"/>
        <v>0.45179521382853616</v>
      </c>
      <c r="K46" s="39">
        <f t="shared" si="13"/>
        <v>0.24926632487091654</v>
      </c>
      <c r="L46" s="39">
        <f t="shared" si="13"/>
        <v>0.45179521382853627</v>
      </c>
      <c r="M46" s="39">
        <f t="shared" si="13"/>
        <v>0.38576931230023165</v>
      </c>
      <c r="N46" s="39">
        <f t="shared" si="13"/>
        <v>0.49853264974183309</v>
      </c>
      <c r="O46" s="39">
        <f t="shared" si="13"/>
        <v>0.77246595467809565</v>
      </c>
      <c r="P46" s="39">
        <f t="shared" si="13"/>
        <v>0.28042461547978109</v>
      </c>
    </row>
    <row r="47" spans="2:17" x14ac:dyDescent="0.25">
      <c r="B47" t="s">
        <v>123</v>
      </c>
      <c r="C47" s="46">
        <f t="shared" ref="C47:P47" si="14">C46*3.7</f>
        <v>3.7467844457159645</v>
      </c>
      <c r="D47" s="46">
        <f t="shared" si="14"/>
        <v>4.9340695142323963</v>
      </c>
      <c r="E47" s="46">
        <f t="shared" si="14"/>
        <v>10.663924960883898</v>
      </c>
      <c r="F47" s="46">
        <f t="shared" si="14"/>
        <v>2.8821418813199728</v>
      </c>
      <c r="G47" s="46">
        <f t="shared" si="14"/>
        <v>3.1127132318255706</v>
      </c>
      <c r="H47" s="46">
        <f t="shared" si="14"/>
        <v>2.0174993169239803</v>
      </c>
      <c r="I47" s="46">
        <f t="shared" si="14"/>
        <v>1.6139994535391848</v>
      </c>
      <c r="J47" s="46">
        <f t="shared" si="14"/>
        <v>1.6716422911655839</v>
      </c>
      <c r="K47" s="46">
        <f t="shared" si="14"/>
        <v>0.92228540202239129</v>
      </c>
      <c r="L47" s="46">
        <f t="shared" si="14"/>
        <v>1.6716422911655844</v>
      </c>
      <c r="M47" s="46">
        <f t="shared" si="14"/>
        <v>1.4273464555108573</v>
      </c>
      <c r="N47" s="46">
        <f t="shared" si="14"/>
        <v>1.8445708040447826</v>
      </c>
      <c r="O47" s="46">
        <f t="shared" si="14"/>
        <v>2.8581240323089538</v>
      </c>
      <c r="P47" s="46">
        <f t="shared" si="14"/>
        <v>1.03757107727519</v>
      </c>
    </row>
  </sheetData>
  <mergeCells count="4">
    <mergeCell ref="B3:G3"/>
    <mergeCell ref="B23:E23"/>
    <mergeCell ref="B37:E37"/>
    <mergeCell ref="B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Manager/>
  <Company>InKulpado666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u201610943 (Castillo Belleza, Elvis Daniel)</cp:lastModifiedBy>
  <dcterms:created xsi:type="dcterms:W3CDTF">2022-02-19T20:43:21Z</dcterms:created>
  <dcterms:modified xsi:type="dcterms:W3CDTF">2025-11-06T23:31:18Z</dcterms:modified>
  <cp:category/>
</cp:coreProperties>
</file>