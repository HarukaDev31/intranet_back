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<sst xmlns="http://schemas.openxmlformats.org/spreadsheetml/2006/main" uniqueCount="129">
  <si>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PRO MUNDO COMEX S.A.C.</t>
  </si>
  <si>
    <t xml:space="preserve">         RUC: 20612452432</t>
  </si>
  <si>
    <t>COTIZACION N002</t>
  </si>
  <si>
    <t>NOMBRE:</t>
  </si>
  <si>
    <t>BRYAN RENZO QUILCA COAQUIRA</t>
  </si>
  <si>
    <t>SERVICIO:</t>
  </si>
  <si>
    <t>CARGA CONSOLIDADA</t>
  </si>
  <si>
    <t>N° CAJAS:</t>
  </si>
  <si>
    <t>APELLIDO:</t>
  </si>
  <si>
    <t>FECHA:</t>
  </si>
  <si>
    <t>PESO:</t>
  </si>
  <si>
    <t>5.519 Tn</t>
  </si>
  <si>
    <t>DNI/RUC:</t>
  </si>
  <si>
    <t>ORIGEN:</t>
  </si>
  <si>
    <t>CHINA</t>
  </si>
  <si>
    <t>MEDIDA:</t>
  </si>
  <si>
    <t>TELEFONO:</t>
  </si>
  <si>
    <t>51 974 318 400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</si>
  <si>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</si>
  <si>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</si>
  <si>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</si>
  <si>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</si>
  <si>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</si>
  <si>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</si>
  <si>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</si>
  <si>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</si>
  <si>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</si>
  <si>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</si>
  <si>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</si>
  <si>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</si>
  <si>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</si>
  <si>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</si>
  <si>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</si>
  <si>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</si>
  <si>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</si>
  <si>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</si>
  <si>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</si>
  <si>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</si>
  <si>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</si>
  <si>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</si>
  <si>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</si>
  <si>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</si>
  <si>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</si>
  <si>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</si>
  <si>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</si>
  <si>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</si>
  <si>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</si>
  <si>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</si>
  <si>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</si>
  <si>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EXTRACTOR DE CABLE ELÉCTRICO DE ACERO</t>
  </si>
  <si>
    <t>PISTOLA DE IMPACTO NEUMATICA</t>
  </si>
  <si>
    <t>DOBLADOR DE TUBO MANUAL</t>
  </si>
  <si>
    <t>LLAVE DE EXTENSIÓN TALADRO ELÉCTRICO</t>
  </si>
  <si>
    <t>PLANTILLA PARA BISAGRA DE ACERO</t>
  </si>
  <si>
    <t>LLAVE DE EXTENSION UNIVERSAL</t>
  </si>
  <si>
    <t>SET DE ABRIDORES DE AGUJEROS CON BROCAS</t>
  </si>
  <si>
    <t>AFILADOR DE BROCAS ELECTRICO</t>
  </si>
  <si>
    <t>TABLA DE ESMERILADO MANUAL</t>
  </si>
  <si>
    <t>LLAVE MULTIPLICADORA DE TORSION</t>
  </si>
  <si>
    <t>REGLA PARA RECORTE DE MADERA</t>
  </si>
  <si>
    <t>COMPRESOR DE PISTÓN DE FRENO DE DISCO</t>
  </si>
  <si>
    <t>DESTORNILADOR CON PUNTAS INTERCAMBIABLES</t>
  </si>
  <si>
    <t>CORTADOR DE TUBOS AJUSTABLE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</si>
  <si>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</si>
  <si>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</si>
  <si>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</si>
  <si>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</si>
  <si>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</si>
  <si>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</si>
  <si>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</si>
  <si>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</si>
  <si>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</si>
  <si>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</si>
  <si>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</si>
  <si>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</si>
  <si>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</si>
  <si>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</si>
  <si>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</si>
  <si>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</si>
  <si>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</si>
  <si>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</si>
  <si>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</si>
  <si>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</si>
  <si>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</si>
  <si>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</si>
  <si>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</si>
  <si>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</si>
  <si>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</si>
  <si>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</si>
  <si>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</si>
  <si>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</si>
  <si>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</si>
  <si>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</si>
  <si>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</si>
  <si>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</si>
  <si>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</si>
  <si>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</si>
  <si>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</si>
  <si>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</si>
  <si>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PAPEL DE LIJA PARA TABLA ESMERILADO</t>
  </si>
  <si>
    <t>Hola BRYAN RENZO QUILCA COAQUIRA 😁 un gusto saludarte!
        A continuación te envío la cotización final de tu importación📋📦.
        🙋‍♂️ PAGO PENDIENTE :
        ☑️Costo CBM: $360.75996
        ☑️Impuestos: $8107.24
        ☑️ Total: $8467.99996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</si>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</sst>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tn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94</xdr:row>
      <xdr:rowOff>104775</xdr:rowOff>
    </xdr:from>
    <xdr:to>
      <xdr:col>8</xdr:col>
      <xdr:colOff>504825</xdr:colOff>
      <xdr:row>112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0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76632038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'2'!R7</f>
        <v>13.62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'2'!R11</f>
        <v>33607.33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'2'!R14 + '2'!R17</f>
        <v>2581.59124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36188.92124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MAX('2'!C27:P27)</f>
        <v>0</v>
      </c>
      <c r="K20" s="12">
        <f>'2'!R28</f>
        <v>80.761223608064</v>
      </c>
      <c r="L20" s="7" t="s">
        <v>25</v>
      </c>
      <c r="M20" s="1"/>
      <c r="N20" t="s">
        <v>100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'2'!R29</f>
        <v>5803.1491941773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'2'!R30</f>
        <v>725.39364927216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6609.3040670575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'2'!R31</f>
        <v>1497.937885747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8107.2419528045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33607.33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'2'!V7, '2'!V7*J11)</f>
        <v>4135.9854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8107.2419528045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45850.557352805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405</v>
      </c>
      <c r="G36" s="88">
        <f>'2'!C8</f>
        <v>5.35</v>
      </c>
      <c r="H36" s="89"/>
      <c r="I36" s="88">
        <f>'2'!C46</f>
        <v>7.2833156230115</v>
      </c>
      <c r="J36" s="88">
        <f>'2'!C44</f>
        <v>2949.7428273197</v>
      </c>
      <c r="K36" s="87">
        <f>'2'!C47</f>
        <v>26.948267805143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300</v>
      </c>
      <c r="G37" s="88">
        <f>'2'!D8</f>
        <v>11.4</v>
      </c>
      <c r="H37" s="86"/>
      <c r="I37" s="90">
        <f>'2'!D46</f>
        <v>15.519588430342</v>
      </c>
      <c r="J37" s="88">
        <f>'2'!D44</f>
        <v>4655.8765291027</v>
      </c>
      <c r="K37" s="87">
        <f>'2'!D47</f>
        <v>57.422477192267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306</v>
      </c>
      <c r="G38" s="88">
        <f>'2'!E8</f>
        <v>4.08</v>
      </c>
      <c r="H38" s="86"/>
      <c r="I38" s="90">
        <f>'2'!E46</f>
        <v>5.5543790171752</v>
      </c>
      <c r="J38" s="88">
        <f>'2'!E44</f>
        <v>1699.6399792556</v>
      </c>
      <c r="K38" s="87">
        <f>'2'!E47</f>
        <v>20.551202363548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204</v>
      </c>
      <c r="G39" s="93">
        <f>'2'!F8</f>
        <v>19.1</v>
      </c>
      <c r="H39" s="94"/>
      <c r="I39" s="93">
        <f>'2'!F46</f>
        <v>26.002117457854</v>
      </c>
      <c r="J39" s="93">
        <f>'2'!F44</f>
        <v>5304.4319614023</v>
      </c>
      <c r="K39" s="95">
        <f>'2'!F47</f>
        <v>96.207834594061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350</v>
      </c>
      <c r="G40" s="93">
        <f>'2'!G8</f>
        <v>8.25</v>
      </c>
      <c r="H40" s="94"/>
      <c r="I40" s="93">
        <f>'2'!G46</f>
        <v>11.231281100906</v>
      </c>
      <c r="J40" s="93">
        <f>'2'!G44</f>
        <v>3930.948385317</v>
      </c>
      <c r="K40" s="95">
        <f>'2'!G47</f>
        <v>41.555740073351</v>
      </c>
      <c r="L40" s="96"/>
      <c r="M40"/>
    </row>
    <row r="41" spans="1:14" customHeight="1" ht="15.75">
      <c r="A41"/>
      <c r="B41" s="92">
        <v>6</v>
      </c>
      <c r="C41" s="92" t="s">
        <v>54</v>
      </c>
      <c r="D41" s="92"/>
      <c r="E41" s="92"/>
      <c r="F41" s="92">
        <f>'2'!H10</f>
        <v>100</v>
      </c>
      <c r="G41" s="93">
        <f>'2'!H8</f>
        <v>3.8</v>
      </c>
      <c r="H41" s="94"/>
      <c r="I41" s="93">
        <f>'2'!H46</f>
        <v>5.1731961434474</v>
      </c>
      <c r="J41" s="93">
        <f>'2'!H44</f>
        <v>517.31961434474</v>
      </c>
      <c r="K41" s="95">
        <f>'2'!H47</f>
        <v>19.140825730756</v>
      </c>
      <c r="L41" s="96"/>
      <c r="M41"/>
    </row>
    <row r="42" spans="1:14" customHeight="1" ht="15.75">
      <c r="A42"/>
      <c r="B42" s="92">
        <v>7</v>
      </c>
      <c r="C42" s="92" t="s">
        <v>55</v>
      </c>
      <c r="D42" s="92"/>
      <c r="E42" s="92"/>
      <c r="F42" s="92">
        <f>'2'!I10</f>
        <v>300</v>
      </c>
      <c r="G42" s="93">
        <f>'2'!I8</f>
        <v>14.5</v>
      </c>
      <c r="H42" s="94"/>
      <c r="I42" s="93">
        <f>'2'!I46</f>
        <v>19.739827389471</v>
      </c>
      <c r="J42" s="93">
        <f>'2'!I44</f>
        <v>5921.9482168412</v>
      </c>
      <c r="K42" s="95">
        <f>'2'!I47</f>
        <v>73.037361341041</v>
      </c>
      <c r="L42" s="96"/>
      <c r="M42"/>
    </row>
    <row r="43" spans="1:14" customHeight="1" ht="15.75">
      <c r="A43"/>
      <c r="B43" s="92">
        <v>8</v>
      </c>
      <c r="C43" s="92" t="s">
        <v>56</v>
      </c>
      <c r="D43" s="92"/>
      <c r="E43" s="92"/>
      <c r="F43" s="92">
        <f>'2'!J10</f>
        <v>300</v>
      </c>
      <c r="G43" s="93">
        <f>'2'!J8</f>
        <v>13.55</v>
      </c>
      <c r="H43" s="94"/>
      <c r="I43" s="93">
        <f>'2'!J46</f>
        <v>18.446528353609</v>
      </c>
      <c r="J43" s="93">
        <f>'2'!J44</f>
        <v>5533.9585060826</v>
      </c>
      <c r="K43" s="95">
        <f>'2'!J47</f>
        <v>68.252154908352</v>
      </c>
      <c r="L43" s="96"/>
      <c r="M43"/>
    </row>
    <row r="44" spans="1:14" customHeight="1" ht="15.75">
      <c r="A44"/>
      <c r="B44" s="92">
        <v>9</v>
      </c>
      <c r="C44" s="92" t="s">
        <v>57</v>
      </c>
      <c r="D44" s="92"/>
      <c r="E44" s="92"/>
      <c r="F44" s="92">
        <f>'2'!K10</f>
        <v>400</v>
      </c>
      <c r="G44" s="93">
        <f>'2'!K8</f>
        <v>4.75</v>
      </c>
      <c r="H44" s="94"/>
      <c r="I44" s="93">
        <f>'2'!K46</f>
        <v>6.4664951793093</v>
      </c>
      <c r="J44" s="93">
        <f>'2'!K44</f>
        <v>2586.5980717237</v>
      </c>
      <c r="K44" s="95">
        <f>'2'!K47</f>
        <v>23.926032163444</v>
      </c>
      <c r="L44" s="96"/>
      <c r="M44"/>
    </row>
    <row r="45" spans="1:14" customHeight="1" ht="15.75">
      <c r="A45"/>
      <c r="B45" s="92">
        <v>10</v>
      </c>
      <c r="C45" s="92" t="s">
        <v>58</v>
      </c>
      <c r="D45" s="92"/>
      <c r="E45" s="92"/>
      <c r="F45" s="92">
        <f>'2'!L10</f>
        <v>200</v>
      </c>
      <c r="G45" s="93">
        <f>'2'!L8</f>
        <v>15.2</v>
      </c>
      <c r="H45" s="94"/>
      <c r="I45" s="93">
        <f>'2'!L46</f>
        <v>20.69278457379</v>
      </c>
      <c r="J45" s="93">
        <f>'2'!L44</f>
        <v>4138.556914758</v>
      </c>
      <c r="K45" s="95">
        <f>'2'!L47</f>
        <v>76.563302923022</v>
      </c>
      <c r="L45" s="96"/>
      <c r="M45"/>
    </row>
    <row r="46" spans="1:14" customHeight="1" ht="15.75">
      <c r="A46"/>
      <c r="B46" s="92">
        <v>11</v>
      </c>
      <c r="C46" s="92" t="s">
        <v>59</v>
      </c>
      <c r="D46" s="92"/>
      <c r="E46" s="92"/>
      <c r="F46" s="92">
        <f>'2'!M10</f>
        <v>300</v>
      </c>
      <c r="G46" s="93">
        <f>'2'!M8</f>
        <v>6.55</v>
      </c>
      <c r="H46" s="94"/>
      <c r="I46" s="93">
        <f>'2'!M46</f>
        <v>8.916956510416</v>
      </c>
      <c r="J46" s="93">
        <f>'2'!M44</f>
        <v>2675.0869531248</v>
      </c>
      <c r="K46" s="95">
        <f>'2'!M47</f>
        <v>32.992739088539</v>
      </c>
      <c r="L46" s="96"/>
      <c r="M46"/>
    </row>
    <row r="47" spans="1:14" customHeight="1" ht="15.75">
      <c r="A47"/>
      <c r="B47" s="92">
        <v>12</v>
      </c>
      <c r="C47" s="92" t="s">
        <v>60</v>
      </c>
      <c r="D47" s="92"/>
      <c r="E47" s="92"/>
      <c r="F47" s="92">
        <f>'2'!N10</f>
        <v>300</v>
      </c>
      <c r="G47" s="93">
        <f>'2'!N8</f>
        <v>3.65</v>
      </c>
      <c r="H47" s="94"/>
      <c r="I47" s="93">
        <f>'2'!N46</f>
        <v>4.9689910325219</v>
      </c>
      <c r="J47" s="93">
        <f>'2'!N44</f>
        <v>1490.6973097566</v>
      </c>
      <c r="K47" s="95">
        <f>'2'!N47</f>
        <v>18.385266820331</v>
      </c>
      <c r="L47" s="96"/>
      <c r="M47"/>
    </row>
    <row r="48" spans="1:14" customHeight="1" ht="15.75">
      <c r="A48"/>
      <c r="B48" s="92">
        <v>13</v>
      </c>
      <c r="C48" s="92" t="s">
        <v>61</v>
      </c>
      <c r="D48" s="92"/>
      <c r="E48" s="92"/>
      <c r="F48" s="92">
        <f>'2'!O10</f>
        <v>288</v>
      </c>
      <c r="G48" s="93">
        <f>'2'!O8</f>
        <v>3.9</v>
      </c>
      <c r="H48" s="94"/>
      <c r="I48" s="93">
        <f>'2'!O46</f>
        <v>5.3093328840645</v>
      </c>
      <c r="J48" s="93">
        <f>'2'!O44</f>
        <v>1529.0878706106</v>
      </c>
      <c r="K48" s="95">
        <f>'2'!O47</f>
        <v>19.644531671039</v>
      </c>
      <c r="L48" s="96"/>
      <c r="M48"/>
    </row>
    <row r="49" spans="1:14" customHeight="1" ht="15.75">
      <c r="A49"/>
      <c r="B49" s="92">
        <v>14</v>
      </c>
      <c r="C49" s="92" t="s">
        <v>62</v>
      </c>
      <c r="D49" s="92"/>
      <c r="E49" s="92"/>
      <c r="F49" s="92">
        <f>'2'!P10</f>
        <v>200</v>
      </c>
      <c r="G49" s="93">
        <f>'2'!P8</f>
        <v>4.1</v>
      </c>
      <c r="H49" s="94"/>
      <c r="I49" s="93">
        <f>'2'!P46</f>
        <v>5.5816063652986</v>
      </c>
      <c r="J49" s="93">
        <f>'2'!P44</f>
        <v>1116.3212730597</v>
      </c>
      <c r="K49" s="95">
        <f>'2'!P47</f>
        <v>20.651943551605</v>
      </c>
      <c r="L49" s="96"/>
      <c r="M49"/>
    </row>
    <row r="50" spans="1:14" customHeight="1" ht="15.75">
      <c r="A50"/>
      <c r="B50" s="92">
        <v>15</v>
      </c>
      <c r="C50" s="92" t="s">
        <v>99</v>
      </c>
      <c r="D50" s="92"/>
      <c r="E50" s="92"/>
      <c r="F50" s="92">
        <f>'2'!Q10</f>
        <v>10000</v>
      </c>
      <c r="G50" s="93">
        <f>'2'!Q8</f>
        <v>0.125</v>
      </c>
      <c r="H50" s="94"/>
      <c r="I50" s="93">
        <f>'2'!Q46</f>
        <v>0.18003429401055</v>
      </c>
      <c r="J50" s="93">
        <f>'2'!Q44</f>
        <v>1800.3429401055</v>
      </c>
      <c r="K50" s="95">
        <f>'2'!Q47</f>
        <v>0.66612688783904</v>
      </c>
      <c r="L50" s="96"/>
      <c r="M50"/>
    </row>
    <row r="51" spans="1:14">
      <c r="A51" s="1"/>
      <c r="B51" s="97" t="s">
        <v>36</v>
      </c>
      <c r="C51" s="5"/>
      <c r="D51" s="5"/>
      <c r="E51" s="5"/>
      <c r="F51" s="97">
        <f>SUM(F36:F50)</f>
        <v>13953</v>
      </c>
      <c r="G51" s="5"/>
      <c r="H51" s="5"/>
      <c r="I51" s="5"/>
      <c r="J51" s="98">
        <f>SUM(J36:J50)</f>
        <v>45850.557352805</v>
      </c>
      <c r="K51" s="29"/>
      <c r="L51" s="30"/>
      <c r="M51" s="1"/>
    </row>
    <row r="52" spans="1:14" customHeight="1" ht="18.75">
      <c r="B52" s="99" t="s">
        <v>98</v>
      </c>
      <c r="C52" s="5"/>
      <c r="D52" s="5"/>
      <c r="E52" s="5"/>
      <c r="F52" s="5"/>
      <c r="G52" s="5"/>
      <c r="H52" s="5"/>
      <c r="I52" s="5"/>
      <c r="J52" s="5"/>
      <c r="K52" s="5"/>
      <c r="L52"/>
      <c r="M52"/>
    </row>
    <row r="53" spans="1:14" customHeight="1" ht="18.75">
      <c r="B53" s="40" t="s">
        <v>97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/>
    </row>
    <row r="54" spans="1:14" customHeight="1" ht="18.75">
      <c r="B54" s="40" t="s">
        <v>96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/>
    </row>
    <row r="55" spans="1:14" customHeight="1" ht="18.75">
      <c r="B55" s="40" t="s">
        <v>95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/>
    </row>
    <row r="56" spans="1:14" customHeight="1" ht="18.75">
      <c r="B56" s="40" t="s">
        <v>94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/>
    </row>
    <row r="57" spans="1:14" customHeight="1" ht="18.75">
      <c r="B57" s="40" t="s">
        <v>93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/>
    </row>
    <row r="58" spans="1:14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1"/>
    </row>
    <row r="59" spans="1:14" customHeight="1" ht="9">
      <c r="B59" s="38"/>
      <c r="C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4" customHeight="1" ht="31.9">
      <c r="B60" s="38"/>
      <c r="C60" s="38"/>
      <c r="D60" s="52" t="s">
        <v>0</v>
      </c>
      <c r="E60" s="52"/>
      <c r="F60" s="52"/>
      <c r="G60" s="52"/>
      <c r="H60" s="52"/>
      <c r="I60" s="52"/>
      <c r="J60" s="52"/>
      <c r="K60" s="52"/>
      <c r="L60" s="52"/>
      <c r="M60" s="52"/>
    </row>
    <row r="61" spans="1:14" customHeight="1" ht="21">
      <c r="B61" s="38"/>
      <c r="C61" s="38"/>
      <c r="D61" s="55" t="s">
        <v>92</v>
      </c>
      <c r="E61" s="55"/>
      <c r="F61" s="55"/>
      <c r="G61" s="55"/>
      <c r="H61" s="55"/>
      <c r="I61" s="55"/>
      <c r="M61"/>
    </row>
    <row r="62" spans="1:14">
      <c r="B62" s="38"/>
      <c r="C62" s="38"/>
      <c r="M62" s="1"/>
    </row>
    <row r="63" spans="1:14">
      <c r="B63" s="38"/>
      <c r="C63" s="38"/>
      <c r="M63" s="1"/>
    </row>
    <row r="64" spans="1:14" customHeight="1" ht="21">
      <c r="B64" s="47" t="s">
        <v>91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/>
    </row>
    <row r="65" spans="1:14">
      <c r="M65" s="1"/>
    </row>
    <row r="66" spans="1:14">
      <c r="B66" s="37" t="s">
        <v>90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89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9" t="s">
        <v>88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1"/>
    </row>
    <row r="69" spans="1:14">
      <c r="B69" s="37" t="s">
        <v>87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86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9" t="s">
        <v>85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1"/>
    </row>
    <row r="72" spans="1:14">
      <c r="B72" s="37" t="s">
        <v>84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83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82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7" t="s">
        <v>81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80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79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78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77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76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75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7" t="s">
        <v>74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B83" s="36" t="s">
        <v>73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1"/>
    </row>
    <row r="84" spans="1:14">
      <c r="B84" s="37" t="s">
        <v>72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1"/>
    </row>
    <row r="85" spans="1:14">
      <c r="B85" s="36" t="s">
        <v>71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1"/>
    </row>
    <row r="86" spans="1:14">
      <c r="B86" s="37" t="s">
        <v>70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1"/>
    </row>
    <row r="87" spans="1:14">
      <c r="B87" s="37" t="s">
        <v>69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1"/>
    </row>
    <row r="88" spans="1:14">
      <c r="B88" s="37" t="s">
        <v>68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1"/>
    </row>
    <row r="89" spans="1:14">
      <c r="B89" s="37" t="s">
        <v>67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1"/>
    </row>
    <row r="90" spans="1:14">
      <c r="B90" s="37" t="s">
        <v>66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1"/>
    </row>
    <row r="91" spans="1:14">
      <c r="A91" s="31"/>
      <c r="B91" s="45" t="s">
        <v>65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1"/>
    </row>
    <row r="92" spans="1:14">
      <c r="A92" s="31"/>
      <c r="B92" s="37" t="s">
        <v>64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1"/>
    </row>
    <row r="93" spans="1:14">
      <c r="A93" s="31"/>
      <c r="B93" s="45" t="s">
        <v>63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1"/>
    </row>
    <row r="94" spans="1:14">
      <c r="M94" s="1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>
      <c r="C96" s="38"/>
      <c r="D96" s="38"/>
      <c r="E96" s="38"/>
      <c r="F96" s="38"/>
      <c r="G96" s="38"/>
      <c r="H96" s="38"/>
      <c r="I96" s="38"/>
      <c r="M96" s="1"/>
    </row>
    <row r="97" spans="1:14">
      <c r="C97" s="38"/>
      <c r="D97" s="38"/>
      <c r="E97" s="38"/>
      <c r="F97" s="38"/>
      <c r="G97" s="38"/>
      <c r="H97" s="38"/>
      <c r="I97" s="38"/>
      <c r="M97" s="1"/>
    </row>
    <row r="98" spans="1:14">
      <c r="C98" s="38"/>
      <c r="D98" s="38"/>
      <c r="E98" s="38"/>
      <c r="F98" s="38"/>
      <c r="G98" s="38"/>
      <c r="H98" s="38"/>
      <c r="I98" s="38"/>
      <c r="M98" s="1"/>
    </row>
    <row r="99" spans="1:14">
      <c r="C99" s="38"/>
      <c r="D99" s="38"/>
      <c r="E99" s="38"/>
      <c r="F99" s="38"/>
      <c r="G99" s="38"/>
      <c r="H99" s="38"/>
      <c r="I99" s="38"/>
      <c r="M99" s="1"/>
    </row>
    <row r="100" spans="1:14">
      <c r="C100" s="38"/>
      <c r="D100" s="38"/>
      <c r="E100" s="38"/>
      <c r="F100" s="38"/>
      <c r="G100" s="38"/>
      <c r="H100" s="38"/>
      <c r="I100" s="38"/>
      <c r="M100" s="1"/>
    </row>
    <row r="101" spans="1:14">
      <c r="C101" s="38"/>
      <c r="D101" s="38"/>
      <c r="E101" s="38"/>
      <c r="F101" s="38"/>
      <c r="G101" s="38"/>
      <c r="H101" s="38"/>
      <c r="I101" s="38"/>
      <c r="M101" s="1"/>
    </row>
    <row r="102" spans="1:14" customHeight="1" ht="15.6">
      <c r="C102" s="38"/>
      <c r="D102" s="38"/>
      <c r="E102" s="38"/>
      <c r="F102" s="38"/>
      <c r="G102" s="38"/>
      <c r="H102" s="38"/>
      <c r="I102" s="38"/>
      <c r="M102"/>
    </row>
    <row r="103" spans="1:14" customHeight="1" ht="15.6">
      <c r="C103" s="38"/>
      <c r="D103" s="38"/>
      <c r="E103" s="38"/>
      <c r="F103" s="38"/>
      <c r="G103" s="38"/>
      <c r="H103" s="38"/>
      <c r="I103" s="38"/>
      <c r="M103"/>
    </row>
    <row r="104" spans="1:14">
      <c r="C104" s="38"/>
      <c r="D104" s="38"/>
      <c r="E104" s="38"/>
      <c r="F104" s="38"/>
      <c r="G104" s="38"/>
      <c r="H104" s="38"/>
      <c r="I104" s="38"/>
      <c r="M104" s="1"/>
    </row>
    <row r="105" spans="1:14">
      <c r="M105" s="1"/>
    </row>
    <row r="106" spans="1:14">
      <c r="M106" s="1"/>
    </row>
    <row r="107" spans="1:14">
      <c r="M107" s="1"/>
    </row>
    <row r="108" spans="1:14">
      <c r="M108" s="1"/>
    </row>
    <row r="109" spans="1:14">
      <c r="M109" s="1"/>
    </row>
    <row r="110" spans="1:14" customHeight="1" ht="15.6">
      <c r="M110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95:I104"/>
    <mergeCell ref="A1:L1"/>
    <mergeCell ref="E2:L2"/>
    <mergeCell ref="D61:I6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6:L56"/>
    <mergeCell ref="B54:L54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64:L64"/>
    <mergeCell ref="B55:L55"/>
    <mergeCell ref="D60:J60"/>
    <mergeCell ref="K60:M60"/>
    <mergeCell ref="E59:M59"/>
    <mergeCell ref="K35:L35"/>
    <mergeCell ref="B90:L90"/>
    <mergeCell ref="B85:L85"/>
    <mergeCell ref="B86:L86"/>
    <mergeCell ref="B87:L87"/>
    <mergeCell ref="B88:L88"/>
    <mergeCell ref="B89:L89"/>
    <mergeCell ref="B93:L93"/>
    <mergeCell ref="B76:L76"/>
    <mergeCell ref="B77:L77"/>
    <mergeCell ref="B78:L78"/>
    <mergeCell ref="B69:L69"/>
    <mergeCell ref="B70:L70"/>
    <mergeCell ref="B71:L71"/>
    <mergeCell ref="B72:L72"/>
    <mergeCell ref="B73:L73"/>
    <mergeCell ref="B74:L74"/>
    <mergeCell ref="B75:L75"/>
    <mergeCell ref="B80:L80"/>
    <mergeCell ref="B81:L81"/>
    <mergeCell ref="B82:L82"/>
    <mergeCell ref="B92:L92"/>
    <mergeCell ref="B91:L91"/>
    <mergeCell ref="B83:L83"/>
    <mergeCell ref="B84:L84"/>
    <mergeCell ref="A7:C7"/>
    <mergeCell ref="I7:L7"/>
    <mergeCell ref="B68:L68"/>
    <mergeCell ref="B57:L57"/>
    <mergeCell ref="B53:L53"/>
    <mergeCell ref="B66:L66"/>
    <mergeCell ref="B79:L79"/>
    <mergeCell ref="B67:L67"/>
    <mergeCell ref="J11:L11"/>
    <mergeCell ref="B59:C63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8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7"/>
  <sheetViews>
    <sheetView tabSelected="0" workbookViewId="0" showGridLines="true" showRowColHeaders="1">
      <selection activeCell="R44" sqref="R44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34.135" bestFit="true" customWidth="true" style="0"/>
    <col min="5" max="5" width="28.136" bestFit="true" customWidth="true" style="0"/>
    <col min="6" max="6" width="43.561" bestFit="true" customWidth="true" style="0"/>
    <col min="7" max="7" width="37.705" bestFit="true" customWidth="true" style="0"/>
    <col min="8" max="8" width="34.135" bestFit="true" customWidth="true" style="0"/>
    <col min="9" max="9" width="47.131" bestFit="true" customWidth="true" style="0"/>
    <col min="10" max="10" width="34.135" bestFit="true" customWidth="true" style="0"/>
    <col min="11" max="11" width="31.707" bestFit="true" customWidth="true" style="0"/>
    <col min="12" max="12" width="37.705" bestFit="true" customWidth="true" style="0"/>
    <col min="13" max="13" width="34.135" bestFit="true" customWidth="true" style="0"/>
    <col min="14" max="14" width="44.703" bestFit="true" customWidth="true" style="0"/>
    <col min="15" max="15" width="48.274" bestFit="true" customWidth="true" style="0"/>
    <col min="16" max="16" width="32.992" bestFit="true" customWidth="true" style="0"/>
    <col min="17" max="17" width="42.418" bestFit="true" customWidth="true" style="0"/>
    <col min="18" max="18" width="10.569" bestFit="true" customWidth="true" style="0"/>
  </cols>
  <sheetData>
    <row r="3" spans="1:22">
      <c r="B3" s="73" t="s">
        <v>101</v>
      </c>
      <c r="C3"/>
      <c r="D3"/>
      <c r="E3"/>
      <c r="F3"/>
      <c r="G3"/>
    </row>
    <row r="5" spans="1:22">
      <c r="B5" s="75" t="s">
        <v>102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54</v>
      </c>
      <c r="I5" s="74" t="s">
        <v>55</v>
      </c>
      <c r="J5" s="74" t="s">
        <v>56</v>
      </c>
      <c r="K5" s="74" t="s">
        <v>57</v>
      </c>
      <c r="L5" s="74" t="s">
        <v>58</v>
      </c>
      <c r="M5" s="74" t="s">
        <v>59</v>
      </c>
      <c r="N5" s="74" t="s">
        <v>60</v>
      </c>
      <c r="O5" s="74" t="s">
        <v>61</v>
      </c>
      <c r="P5" s="74" t="s">
        <v>62</v>
      </c>
      <c r="Q5" s="74" t="s">
        <v>99</v>
      </c>
      <c r="R5" s="74" t="s">
        <v>119</v>
      </c>
    </row>
    <row r="6" spans="1:22">
      <c r="B6" t="s">
        <v>103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80">
        <v>5.52</v>
      </c>
      <c r="U6" s="78" t="s">
        <v>117</v>
      </c>
      <c r="V6" s="78" t="s">
        <v>118</v>
      </c>
    </row>
    <row r="7" spans="1:22">
      <c r="B7" t="s">
        <v>104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81">
        <v>13.62</v>
      </c>
      <c r="U7" s="79" t="s">
        <v>19</v>
      </c>
      <c r="V7" s="79">
        <v>303.67</v>
      </c>
    </row>
    <row r="8" spans="1:22">
      <c r="B8" t="s">
        <v>105</v>
      </c>
      <c r="C8" s="77">
        <v>5.35</v>
      </c>
      <c r="D8" s="77">
        <v>11.4</v>
      </c>
      <c r="E8" s="77">
        <v>4.08</v>
      </c>
      <c r="F8" s="77">
        <v>19.1</v>
      </c>
      <c r="G8" s="77">
        <v>8.25</v>
      </c>
      <c r="H8" s="77">
        <v>3.8</v>
      </c>
      <c r="I8" s="77">
        <v>14.5</v>
      </c>
      <c r="J8" s="77">
        <v>13.55</v>
      </c>
      <c r="K8" s="77">
        <v>4.75</v>
      </c>
      <c r="L8" s="77">
        <v>15.2</v>
      </c>
      <c r="M8" s="77">
        <v>6.55</v>
      </c>
      <c r="N8" s="77">
        <v>3.65</v>
      </c>
      <c r="O8" s="77">
        <v>3.9</v>
      </c>
      <c r="P8" s="77">
        <v>4.1</v>
      </c>
      <c r="Q8" s="77">
        <v>0.125</v>
      </c>
      <c r="R8"/>
    </row>
    <row r="9" spans="1:22">
      <c r="B9" s="76" t="s">
        <v>106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 s="77">
        <v>0.0</v>
      </c>
      <c r="K9" s="77">
        <v>0.0</v>
      </c>
      <c r="L9" s="77">
        <v>0.0</v>
      </c>
      <c r="M9" s="77">
        <v>0.0</v>
      </c>
      <c r="N9" s="77">
        <v>0.0</v>
      </c>
      <c r="O9" s="77">
        <v>0.0</v>
      </c>
      <c r="P9" s="77">
        <v>0.0</v>
      </c>
      <c r="Q9" s="77">
        <v>0.0</v>
      </c>
      <c r="R9"/>
    </row>
    <row r="10" spans="1:22">
      <c r="B10" t="s">
        <v>107</v>
      </c>
      <c r="C10">
        <v>405.0</v>
      </c>
      <c r="D10">
        <v>300.0</v>
      </c>
      <c r="E10">
        <v>306.0</v>
      </c>
      <c r="F10">
        <v>204.0</v>
      </c>
      <c r="G10">
        <v>350.0</v>
      </c>
      <c r="H10">
        <v>100.0</v>
      </c>
      <c r="I10">
        <v>300.0</v>
      </c>
      <c r="J10">
        <v>300.0</v>
      </c>
      <c r="K10">
        <v>400.0</v>
      </c>
      <c r="L10">
        <v>200.0</v>
      </c>
      <c r="M10">
        <v>300.0</v>
      </c>
      <c r="N10">
        <v>300.0</v>
      </c>
      <c r="O10">
        <v>288.0</v>
      </c>
      <c r="P10">
        <v>200.0</v>
      </c>
      <c r="Q10">
        <v>10000.0</v>
      </c>
      <c r="R10">
        <f>SUM(C10:Q10)</f>
        <v>13953</v>
      </c>
    </row>
    <row r="11" spans="1:22">
      <c r="B11" t="s">
        <v>108</v>
      </c>
      <c r="C11" s="77">
        <f>C8*C10</f>
        <v>2166.75</v>
      </c>
      <c r="D11" s="77">
        <f>D8*D10</f>
        <v>3420</v>
      </c>
      <c r="E11" s="77">
        <f>E8*E10</f>
        <v>1248.48</v>
      </c>
      <c r="F11" s="77">
        <f>F8*F10</f>
        <v>3896.4</v>
      </c>
      <c r="G11" s="77">
        <f>G8*G10</f>
        <v>2887.5</v>
      </c>
      <c r="H11" s="77">
        <f>H8*H10</f>
        <v>380</v>
      </c>
      <c r="I11" s="77">
        <f>I8*I10</f>
        <v>4350</v>
      </c>
      <c r="J11" s="77">
        <f>J8*J10</f>
        <v>4065</v>
      </c>
      <c r="K11" s="77">
        <f>K8*K10</f>
        <v>1900</v>
      </c>
      <c r="L11" s="77">
        <f>L8*L10</f>
        <v>3040</v>
      </c>
      <c r="M11" s="77">
        <f>M8*M10</f>
        <v>1965</v>
      </c>
      <c r="N11" s="77">
        <f>N8*N10</f>
        <v>1095</v>
      </c>
      <c r="O11" s="77">
        <f>O8*O10</f>
        <v>1123.2</v>
      </c>
      <c r="P11" s="77">
        <f>P8*P10</f>
        <v>820</v>
      </c>
      <c r="Q11" s="77">
        <f>Q8*Q10</f>
        <v>1250</v>
      </c>
      <c r="R11" s="85">
        <f>SUM(C11:Q11)</f>
        <v>33607.33</v>
      </c>
    </row>
    <row r="12" spans="1:22">
      <c r="B12" s="76" t="s">
        <v>109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77">
        <f>J10*J9</f>
        <v>0</v>
      </c>
      <c r="K12" s="77">
        <f>K10*K9</f>
        <v>0</v>
      </c>
      <c r="L12" s="77">
        <f>L10*L9</f>
        <v>0</v>
      </c>
      <c r="M12" s="77">
        <f>M10*M9</f>
        <v>0</v>
      </c>
      <c r="N12" s="77">
        <f>N10*N9</f>
        <v>0</v>
      </c>
      <c r="O12" s="77">
        <f>O10*O9</f>
        <v>0</v>
      </c>
      <c r="P12" s="77">
        <f>P10*P9</f>
        <v>0</v>
      </c>
      <c r="Q12" s="77">
        <f>Q10*Q9</f>
        <v>0</v>
      </c>
      <c r="R12" s="85">
        <f>SUM(C12:Q12)</f>
        <v>0</v>
      </c>
    </row>
    <row r="13" spans="1:22">
      <c r="B13" t="s">
        <v>110</v>
      </c>
      <c r="C13" s="82">
        <f>C11/R11</f>
        <v>0.064472542150775</v>
      </c>
      <c r="D13" s="82">
        <f>D11/R11</f>
        <v>0.10176351409053</v>
      </c>
      <c r="E13" s="82">
        <f>E11/R11</f>
        <v>0.037149038617468</v>
      </c>
      <c r="F13" s="82">
        <f>F11/R11</f>
        <v>0.11593899307086</v>
      </c>
      <c r="G13" s="82">
        <f>G11/R11</f>
        <v>0.085918756414151</v>
      </c>
      <c r="H13" s="82">
        <f>H11/R11</f>
        <v>0.01130705712117</v>
      </c>
      <c r="I13" s="82">
        <f>I11/R11</f>
        <v>0.12943604862392</v>
      </c>
      <c r="J13" s="82">
        <f>J11/R11</f>
        <v>0.12095575578304</v>
      </c>
      <c r="K13" s="82">
        <f>K11/R11</f>
        <v>0.056535285605848</v>
      </c>
      <c r="L13" s="82">
        <f>L11/R11</f>
        <v>0.090456456969358</v>
      </c>
      <c r="M13" s="82">
        <f>M11/R11</f>
        <v>0.058469387481838</v>
      </c>
      <c r="N13" s="82">
        <f>N11/R11</f>
        <v>0.032582177757055</v>
      </c>
      <c r="O13" s="82">
        <f>O11/R11</f>
        <v>0.033421280417099</v>
      </c>
      <c r="P13" s="82">
        <f>P11/R11</f>
        <v>0.024399439050945</v>
      </c>
      <c r="Q13" s="82">
        <f>Q11/R11</f>
        <v>0.037194266845953</v>
      </c>
      <c r="R13"/>
    </row>
    <row r="14" spans="1:22">
      <c r="B14" t="s">
        <v>111</v>
      </c>
      <c r="C14" s="77">
        <f>R14*C13</f>
        <v>159.99449582189</v>
      </c>
      <c r="D14" s="77">
        <f>R14*D13</f>
        <v>252.53544511867</v>
      </c>
      <c r="E14" s="77">
        <f>R14*E13</f>
        <v>92.188728807531</v>
      </c>
      <c r="F14" s="77">
        <f>R14*F13</f>
        <v>287.71318957906</v>
      </c>
      <c r="G14" s="77">
        <f>R14*G13</f>
        <v>213.21523326905</v>
      </c>
      <c r="H14" s="77">
        <f>R14*H13</f>
        <v>28.059493902074</v>
      </c>
      <c r="I14" s="77">
        <f>R14*I13</f>
        <v>321.20736440532</v>
      </c>
      <c r="J14" s="77">
        <f>R14*J13</f>
        <v>300.16274397877</v>
      </c>
      <c r="K14" s="77">
        <f>R14*K13</f>
        <v>140.29746951037</v>
      </c>
      <c r="L14" s="77">
        <f>R14*L13</f>
        <v>224.47595121659</v>
      </c>
      <c r="M14" s="77">
        <f>R14*M13</f>
        <v>145.09711978309</v>
      </c>
      <c r="N14" s="77">
        <f>R14*N13</f>
        <v>80.85564690203</v>
      </c>
      <c r="O14" s="77">
        <f>R14*O13</f>
        <v>82.937956712658</v>
      </c>
      <c r="P14" s="77">
        <f>R14*P13</f>
        <v>60.549434209739</v>
      </c>
      <c r="Q14" s="77">
        <f>R14*Q13</f>
        <v>92.300966783139</v>
      </c>
      <c r="R14" s="85">
        <f>IF(R7&lt;1, V7*0.6, V7*0.6*R7)</f>
        <v>2481.59124</v>
      </c>
    </row>
    <row r="15" spans="1:22">
      <c r="B15" t="s">
        <v>112</v>
      </c>
      <c r="C15" s="77">
        <f>C11+C14</f>
        <v>2326.7444958219</v>
      </c>
      <c r="D15" s="77">
        <f>D11+D14</f>
        <v>3672.5354451187</v>
      </c>
      <c r="E15" s="77">
        <f>E11+E14</f>
        <v>1340.6687288075</v>
      </c>
      <c r="F15" s="77">
        <f>F11+F14</f>
        <v>4184.1131895791</v>
      </c>
      <c r="G15" s="77">
        <f>G11+G14</f>
        <v>3100.7152332691</v>
      </c>
      <c r="H15" s="77">
        <f>H11+H14</f>
        <v>408.05949390207</v>
      </c>
      <c r="I15" s="77">
        <f>I11+I14</f>
        <v>4671.2073644053</v>
      </c>
      <c r="J15" s="77">
        <f>J11+J14</f>
        <v>4365.1627439788</v>
      </c>
      <c r="K15" s="77">
        <f>K11+K14</f>
        <v>2040.2974695104</v>
      </c>
      <c r="L15" s="77">
        <f>L11+L14</f>
        <v>3264.4759512166</v>
      </c>
      <c r="M15" s="77">
        <f>M11+M14</f>
        <v>2110.0971197831</v>
      </c>
      <c r="N15" s="77">
        <f>N11+N14</f>
        <v>1175.855646902</v>
      </c>
      <c r="O15" s="77">
        <f>O11+O14</f>
        <v>1206.1379567127</v>
      </c>
      <c r="P15" s="77">
        <f>P11+P14</f>
        <v>880.54943420974</v>
      </c>
      <c r="Q15" s="77">
        <f>Q11+Q14</f>
        <v>1342.3009667831</v>
      </c>
      <c r="R15" s="85">
        <f>SUM(C15:Q15)</f>
        <v>36088.92124</v>
      </c>
    </row>
    <row r="16" spans="1:22">
      <c r="B16" s="76" t="s">
        <v>113</v>
      </c>
      <c r="C16" s="77">
        <f>C12+C14</f>
        <v>159.99449582189</v>
      </c>
      <c r="D16" s="77">
        <f>D12+D14</f>
        <v>252.53544511867</v>
      </c>
      <c r="E16" s="77">
        <f>E12+E14</f>
        <v>92.188728807531</v>
      </c>
      <c r="F16" s="77">
        <f>F12+F14</f>
        <v>287.71318957906</v>
      </c>
      <c r="G16" s="77">
        <f>G12+G14</f>
        <v>213.21523326905</v>
      </c>
      <c r="H16" s="77">
        <f>H12+H14</f>
        <v>28.059493902074</v>
      </c>
      <c r="I16" s="77">
        <f>I12+I14</f>
        <v>321.20736440532</v>
      </c>
      <c r="J16" s="77">
        <f>J12+J14</f>
        <v>300.16274397877</v>
      </c>
      <c r="K16" s="77">
        <f>K12+K14</f>
        <v>140.29746951037</v>
      </c>
      <c r="L16" s="77">
        <f>L12+L14</f>
        <v>224.47595121659</v>
      </c>
      <c r="M16" s="77">
        <f>M12+M14</f>
        <v>145.09711978309</v>
      </c>
      <c r="N16" s="77">
        <f>N12+N14</f>
        <v>80.85564690203</v>
      </c>
      <c r="O16" s="77">
        <f>O12+O14</f>
        <v>82.937956712658</v>
      </c>
      <c r="P16" s="77">
        <f>P12+P14</f>
        <v>60.549434209739</v>
      </c>
      <c r="Q16" s="77">
        <f>Q12+Q14</f>
        <v>92.300966783139</v>
      </c>
      <c r="R16" s="85">
        <f>SUM(C16:Q16)</f>
        <v>2481.59124</v>
      </c>
    </row>
    <row r="17" spans="1:22">
      <c r="B17" t="s">
        <v>114</v>
      </c>
      <c r="C17" s="77">
        <f>IF(R11&gt;5000,100*C13,50*C13)</f>
        <v>6.4472542150775</v>
      </c>
      <c r="D17" s="77">
        <f>IF(R11&gt;5000,100*D13,50*D13)</f>
        <v>10.176351409053</v>
      </c>
      <c r="E17" s="77">
        <f>IF(R11&gt;5000,100*E13,50*E13)</f>
        <v>3.7149038617468</v>
      </c>
      <c r="F17" s="77">
        <f>IF(R11&gt;5000,100*F13,50*F13)</f>
        <v>11.593899307086</v>
      </c>
      <c r="G17" s="77">
        <f>IF(R11&gt;5000,100*G13,50*G13)</f>
        <v>8.5918756414151</v>
      </c>
      <c r="H17" s="77">
        <f>IF(R11&gt;5000,100*H13,50*H13)</f>
        <v>1.130705712117</v>
      </c>
      <c r="I17" s="77">
        <f>IF(R11&gt;5000,100*I13,50*I13)</f>
        <v>12.943604862392</v>
      </c>
      <c r="J17" s="77">
        <f>IF(R11&gt;5000,100*J13,50*J13)</f>
        <v>12.095575578304</v>
      </c>
      <c r="K17" s="77">
        <f>IF(R11&gt;5000,100*K13,50*K13)</f>
        <v>5.6535285605848</v>
      </c>
      <c r="L17" s="77">
        <f>IF(R11&gt;5000,100*L13,50*L13)</f>
        <v>9.0456456969358</v>
      </c>
      <c r="M17" s="77">
        <f>IF(R11&gt;5000,100*M13,50*M13)</f>
        <v>5.8469387481838</v>
      </c>
      <c r="N17" s="77">
        <f>IF(R11&gt;5000,100*N13,50*N13)</f>
        <v>3.2582177757055</v>
      </c>
      <c r="O17" s="77">
        <f>IF(R11&gt;5000,100*O13,50*O13)</f>
        <v>3.3421280417099</v>
      </c>
      <c r="P17" s="77">
        <f>IF(R11&gt;5000,100*P13,50*P13)</f>
        <v>2.4399439050945</v>
      </c>
      <c r="Q17" s="77">
        <f>IF(R11&gt;5000,100*Q13,50*Q13)</f>
        <v>3.7194266845953</v>
      </c>
      <c r="R17" s="85">
        <f>SUM(C17:Q17)</f>
        <v>100</v>
      </c>
    </row>
    <row r="18" spans="1:22">
      <c r="B18" t="s">
        <v>115</v>
      </c>
      <c r="C18" s="77">
        <f>C15+C17</f>
        <v>2333.191750037</v>
      </c>
      <c r="D18" s="77">
        <f>D15+D17</f>
        <v>3682.7117965277</v>
      </c>
      <c r="E18" s="77">
        <f>E15+E17</f>
        <v>1344.3836326693</v>
      </c>
      <c r="F18" s="77">
        <f>F15+F17</f>
        <v>4195.7070888861</v>
      </c>
      <c r="G18" s="77">
        <f>G15+G17</f>
        <v>3109.3071089105</v>
      </c>
      <c r="H18" s="77">
        <f>H15+H17</f>
        <v>409.19019961419</v>
      </c>
      <c r="I18" s="77">
        <f>I15+I17</f>
        <v>4684.1509692677</v>
      </c>
      <c r="J18" s="77">
        <f>J15+J17</f>
        <v>4377.2583195571</v>
      </c>
      <c r="K18" s="77">
        <f>K15+K17</f>
        <v>2045.950998071</v>
      </c>
      <c r="L18" s="77">
        <f>L15+L17</f>
        <v>3273.5215969135</v>
      </c>
      <c r="M18" s="77">
        <f>M15+M17</f>
        <v>2115.9440585313</v>
      </c>
      <c r="N18" s="77">
        <f>N15+N17</f>
        <v>1179.1138646777</v>
      </c>
      <c r="O18" s="77">
        <f>O15+O17</f>
        <v>1209.4800847544</v>
      </c>
      <c r="P18" s="77">
        <f>P15+P17</f>
        <v>882.98937811483</v>
      </c>
      <c r="Q18" s="77">
        <f>Q15+Q17</f>
        <v>1346.0203934677</v>
      </c>
      <c r="R18" s="85">
        <f>SUM(C18:Q18)</f>
        <v>36188.92124</v>
      </c>
    </row>
    <row r="19" spans="1:22">
      <c r="B19" s="76" t="s">
        <v>116</v>
      </c>
      <c r="C19" s="77">
        <f>C16+C17</f>
        <v>166.44175003697</v>
      </c>
      <c r="D19" s="77">
        <f>D16+D17</f>
        <v>262.71179652772</v>
      </c>
      <c r="E19" s="77">
        <f>E16+E17</f>
        <v>95.903632669278</v>
      </c>
      <c r="F19" s="77">
        <f>F16+F17</f>
        <v>299.30708888614</v>
      </c>
      <c r="G19" s="77">
        <f>G16+G17</f>
        <v>221.80710891047</v>
      </c>
      <c r="H19" s="77">
        <f>H16+H17</f>
        <v>29.190199614191</v>
      </c>
      <c r="I19" s="77">
        <f>I16+I17</f>
        <v>334.15096926772</v>
      </c>
      <c r="J19" s="77">
        <f>J16+J17</f>
        <v>312.25831955707</v>
      </c>
      <c r="K19" s="77">
        <f>K16+K17</f>
        <v>145.95099807096</v>
      </c>
      <c r="L19" s="77">
        <f>L16+L17</f>
        <v>233.52159691353</v>
      </c>
      <c r="M19" s="77">
        <f>M16+M17</f>
        <v>150.94405853128</v>
      </c>
      <c r="N19" s="77">
        <f>N16+N17</f>
        <v>84.113864677735</v>
      </c>
      <c r="O19" s="77">
        <f>O16+O17</f>
        <v>86.280084754368</v>
      </c>
      <c r="P19" s="77">
        <f>P16+P17</f>
        <v>62.989378114834</v>
      </c>
      <c r="Q19" s="77">
        <f>Q16+Q17</f>
        <v>96.020393467735</v>
      </c>
      <c r="R19" s="85">
        <f>SUM(C19:Q19)</f>
        <v>2581.59124</v>
      </c>
    </row>
    <row r="23" spans="1:22">
      <c r="B23" s="73" t="s">
        <v>126</v>
      </c>
      <c r="C23"/>
      <c r="D23"/>
      <c r="E23"/>
    </row>
    <row r="26" spans="1:22">
      <c r="B26" t="s">
        <v>127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f>SUM(C26:Q26)</f>
        <v>0</v>
      </c>
    </row>
    <row r="27" spans="1:22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3">
        <v>0.0</v>
      </c>
      <c r="L27" s="83">
        <v>0.0</v>
      </c>
      <c r="M27" s="83">
        <v>0.0</v>
      </c>
      <c r="N27" s="83">
        <v>0.0</v>
      </c>
      <c r="O27" s="83">
        <v>0.0</v>
      </c>
      <c r="P27" s="83">
        <v>0.0</v>
      </c>
      <c r="Q27" s="83">
        <v>0.06</v>
      </c>
      <c r="R27" s="82">
        <f>SUM(C27:Q27)</f>
        <v>0.06</v>
      </c>
    </row>
    <row r="28" spans="1:22">
      <c r="B28" t="s">
        <v>120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MAX(J19,J18)*J27</f>
        <v>0</v>
      </c>
      <c r="K28" s="77">
        <f>MAX(K19,K18)*K27</f>
        <v>0</v>
      </c>
      <c r="L28" s="77">
        <f>MAX(L19,L18)*L27</f>
        <v>0</v>
      </c>
      <c r="M28" s="77">
        <f>MAX(M19,M18)*M27</f>
        <v>0</v>
      </c>
      <c r="N28" s="77">
        <f>MAX(N19,N18)*N27</f>
        <v>0</v>
      </c>
      <c r="O28" s="77">
        <f>MAX(O19,O18)*O27</f>
        <v>0</v>
      </c>
      <c r="P28" s="77">
        <f>MAX(P19,P18)*P27</f>
        <v>0</v>
      </c>
      <c r="Q28" s="77">
        <f>MAX(Q19,Q18)*Q27</f>
        <v>80.761223608064</v>
      </c>
      <c r="R28" s="77">
        <f>SUM(C28:Q28)</f>
        <v>80.761223608064</v>
      </c>
    </row>
    <row r="29" spans="1:22">
      <c r="B29" t="s">
        <v>31</v>
      </c>
      <c r="C29" s="77">
        <f>0.16*(MAX(C19,C18)+C28)</f>
        <v>373.31068000592</v>
      </c>
      <c r="D29" s="77">
        <f>0.16*(MAX(D19,D18)+D28)</f>
        <v>589.23388744444</v>
      </c>
      <c r="E29" s="77">
        <f>0.16*(MAX(E19,E18)+E28)</f>
        <v>215.10138122708</v>
      </c>
      <c r="F29" s="77">
        <f>0.16*(MAX(F19,F18)+F28)</f>
        <v>671.31313422178</v>
      </c>
      <c r="G29" s="77">
        <f>0.16*(MAX(G19,G18)+G28)</f>
        <v>497.48913742567</v>
      </c>
      <c r="H29" s="77">
        <f>0.16*(MAX(H19,H18)+H28)</f>
        <v>65.470431938271</v>
      </c>
      <c r="I29" s="77">
        <f>0.16*(MAX(I19,I18)+I28)</f>
        <v>749.46415508283</v>
      </c>
      <c r="J29" s="77">
        <f>0.16*(MAX(J19,J18)+J28)</f>
        <v>700.36133112913</v>
      </c>
      <c r="K29" s="77">
        <f>0.16*(MAX(K19,K18)+K28)</f>
        <v>327.35215969135</v>
      </c>
      <c r="L29" s="77">
        <f>0.16*(MAX(L19,L18)+L28)</f>
        <v>523.76345550616</v>
      </c>
      <c r="M29" s="77">
        <f>0.16*(MAX(M19,M18)+M28)</f>
        <v>338.551049365</v>
      </c>
      <c r="N29" s="77">
        <f>0.16*(MAX(N19,N18)+N28)</f>
        <v>188.65821834844</v>
      </c>
      <c r="O29" s="77">
        <f>0.16*(MAX(O19,O18)+O28)</f>
        <v>193.5168135607</v>
      </c>
      <c r="P29" s="77">
        <f>0.16*(MAX(P19,P18)+P28)</f>
        <v>141.27830049837</v>
      </c>
      <c r="Q29" s="77">
        <f>0.16*(MAX(Q19,Q18)+Q28)</f>
        <v>228.28505873213</v>
      </c>
      <c r="R29" s="77">
        <f>SUM(C29:Q29)</f>
        <v>5803.1491941773</v>
      </c>
    </row>
    <row r="30" spans="1:22">
      <c r="B30" t="s">
        <v>32</v>
      </c>
      <c r="C30" s="77">
        <f>0.02*(MAX(C19,C18)+C28)</f>
        <v>46.663835000739</v>
      </c>
      <c r="D30" s="77">
        <f>0.02*(MAX(D19,D18)+D28)</f>
        <v>73.654235930554</v>
      </c>
      <c r="E30" s="77">
        <f>0.02*(MAX(E19,E18)+E28)</f>
        <v>26.887672653386</v>
      </c>
      <c r="F30" s="77">
        <f>0.02*(MAX(F19,F18)+F28)</f>
        <v>83.914141777723</v>
      </c>
      <c r="G30" s="77">
        <f>0.02*(MAX(G19,G18)+G28)</f>
        <v>62.186142178209</v>
      </c>
      <c r="H30" s="77">
        <f>0.02*(MAX(H19,H18)+H28)</f>
        <v>8.1838039922838</v>
      </c>
      <c r="I30" s="77">
        <f>0.02*(MAX(I19,I18)+I28)</f>
        <v>93.683019385354</v>
      </c>
      <c r="J30" s="77">
        <f>0.02*(MAX(J19,J18)+J28)</f>
        <v>87.545166391141</v>
      </c>
      <c r="K30" s="77">
        <f>0.02*(MAX(K19,K18)+K28)</f>
        <v>40.919019961419</v>
      </c>
      <c r="L30" s="77">
        <f>0.02*(MAX(L19,L18)+L28)</f>
        <v>65.470431938271</v>
      </c>
      <c r="M30" s="77">
        <f>0.02*(MAX(M19,M18)+M28)</f>
        <v>42.318881170626</v>
      </c>
      <c r="N30" s="77">
        <f>0.02*(MAX(N19,N18)+N28)</f>
        <v>23.582277293555</v>
      </c>
      <c r="O30" s="77">
        <f>0.02*(MAX(O19,O18)+O28)</f>
        <v>24.189601695087</v>
      </c>
      <c r="P30" s="77">
        <f>0.02*(MAX(P19,P18)+P28)</f>
        <v>17.659787562297</v>
      </c>
      <c r="Q30" s="77">
        <f>0.02*(MAX(Q19,Q18)+Q28)</f>
        <v>28.535632341516</v>
      </c>
      <c r="R30" s="77">
        <f>SUM(C30:Q30)</f>
        <v>725.39364927216</v>
      </c>
    </row>
    <row r="31" spans="1:22">
      <c r="B31" t="s">
        <v>121</v>
      </c>
      <c r="C31" s="77">
        <f>0.035*(MAX(C18,C19) +C28+C29+C30)</f>
        <v>96.360819276527</v>
      </c>
      <c r="D31" s="77">
        <f>0.035*(MAX(D18,D19) +D28+D29+D30)</f>
        <v>152.09599719659</v>
      </c>
      <c r="E31" s="77">
        <f>0.035*(MAX(E18,E19) +E28+E29+E30)</f>
        <v>55.523044029241</v>
      </c>
      <c r="F31" s="77">
        <f>0.035*(MAX(F18,F19) +F28+F29+F30)</f>
        <v>173.282702771</v>
      </c>
      <c r="G31" s="77">
        <f>0.035*(MAX(G18,G19) +G28+G29+G30)</f>
        <v>128.414383598</v>
      </c>
      <c r="H31" s="77">
        <f>0.035*(MAX(H18,H19) +H28+H29+H30)</f>
        <v>16.899555244066</v>
      </c>
      <c r="I31" s="77">
        <f>0.035*(MAX(I18,I19) +I28+I29+I30)</f>
        <v>193.45543503076</v>
      </c>
      <c r="J31" s="77">
        <f>0.035*(MAX(J18,J19) +J28+J29+J30)</f>
        <v>180.78076859771</v>
      </c>
      <c r="K31" s="77">
        <f>0.035*(MAX(K18,K19) +K28+K29+K30)</f>
        <v>84.497776220331</v>
      </c>
      <c r="L31" s="77">
        <f>0.035*(MAX(L18,L19) +L28+L29+L30)</f>
        <v>135.19644195253</v>
      </c>
      <c r="M31" s="77">
        <f>0.035*(MAX(M18,M19) +M28+M29+M30)</f>
        <v>87.388489617342</v>
      </c>
      <c r="N31" s="77">
        <f>0.035*(MAX(N18,N19) +N28+N29+N30)</f>
        <v>48.69740261119</v>
      </c>
      <c r="O31" s="77">
        <f>0.035*(MAX(O18,O19) +O28+O29+O30)</f>
        <v>49.951527500355</v>
      </c>
      <c r="P31" s="77">
        <f>0.035*(MAX(P18,P19) +P28+P29+P30)</f>
        <v>36.467461316143</v>
      </c>
      <c r="Q31" s="77">
        <f>0.035*(MAX(Q18,Q19) +Q28+Q29+Q30)</f>
        <v>58.92608078523</v>
      </c>
      <c r="R31" s="77">
        <f>SUM(C31:Q31)</f>
        <v>1497.937885747</v>
      </c>
    </row>
    <row r="32" spans="1:22">
      <c r="B32" t="s">
        <v>36</v>
      </c>
      <c r="C32" s="77">
        <f>SUM(C28:C31)</f>
        <v>516.33533428318</v>
      </c>
      <c r="D32" s="77">
        <f>SUM(D28:D31)</f>
        <v>814.98412057158</v>
      </c>
      <c r="E32" s="77">
        <f>SUM(E28:E31)</f>
        <v>297.51209790971</v>
      </c>
      <c r="F32" s="77">
        <f>SUM(F28:F31)</f>
        <v>928.5099787705</v>
      </c>
      <c r="G32" s="77">
        <f>SUM(G28:G31)</f>
        <v>688.08966320189</v>
      </c>
      <c r="H32" s="77">
        <f>SUM(H28:H31)</f>
        <v>90.553791174621</v>
      </c>
      <c r="I32" s="77">
        <f>SUM(I28:I31)</f>
        <v>1036.6026094989</v>
      </c>
      <c r="J32" s="77">
        <f>SUM(J28:J31)</f>
        <v>968.68726611798</v>
      </c>
      <c r="K32" s="77">
        <f>SUM(K28:K31)</f>
        <v>452.7689558731</v>
      </c>
      <c r="L32" s="77">
        <f>SUM(L28:L31)</f>
        <v>724.43032939696</v>
      </c>
      <c r="M32" s="77">
        <f>SUM(M28:M31)</f>
        <v>468.25842015297</v>
      </c>
      <c r="N32" s="77">
        <f>SUM(N28:N31)</f>
        <v>260.93789825318</v>
      </c>
      <c r="O32" s="77">
        <f>SUM(O28:O31)</f>
        <v>267.65794275614</v>
      </c>
      <c r="P32" s="77">
        <f>SUM(P28:P31)</f>
        <v>195.40554937681</v>
      </c>
      <c r="Q32" s="77">
        <f>SUM(Q28:Q31)</f>
        <v>396.50799546694</v>
      </c>
      <c r="R32" s="77">
        <f>SUM(R28:R31)</f>
        <v>8107.2419528045</v>
      </c>
    </row>
    <row r="37" spans="1:22">
      <c r="B37" s="73" t="s">
        <v>128</v>
      </c>
      <c r="C37"/>
      <c r="D37"/>
      <c r="E37"/>
    </row>
    <row r="40" spans="1:22">
      <c r="B40" t="s">
        <v>122</v>
      </c>
      <c r="C40" s="77">
        <f>C13*R40</f>
        <v>106.6629972146</v>
      </c>
      <c r="D40" s="77">
        <f>D13*R40</f>
        <v>168.35696341245</v>
      </c>
      <c r="E40" s="77">
        <f>E13*R40</f>
        <v>61.459152538354</v>
      </c>
      <c r="F40" s="77">
        <f>F13*R40</f>
        <v>191.80879305271</v>
      </c>
      <c r="G40" s="77">
        <f>G13*R40</f>
        <v>142.14348884603</v>
      </c>
      <c r="H40" s="77">
        <f>H13*R40</f>
        <v>18.70632926805</v>
      </c>
      <c r="I40" s="77">
        <f>I13*R40</f>
        <v>214.13824293688</v>
      </c>
      <c r="J40" s="77">
        <f>J13*R40</f>
        <v>200.10849598585</v>
      </c>
      <c r="K40" s="77">
        <f>K13*R40</f>
        <v>93.531646340248</v>
      </c>
      <c r="L40" s="77">
        <f>L13*R40</f>
        <v>149.6506341444</v>
      </c>
      <c r="M40" s="77">
        <f>M13*R40</f>
        <v>96.73141318873</v>
      </c>
      <c r="N40" s="77">
        <f>N13*R40</f>
        <v>53.903764601353</v>
      </c>
      <c r="O40" s="77">
        <f>O13*R40</f>
        <v>55.291971141772</v>
      </c>
      <c r="P40" s="77">
        <f>P13*R40</f>
        <v>40.36628947316</v>
      </c>
      <c r="Q40" s="77">
        <f>Q13*R40</f>
        <v>61.533977855426</v>
      </c>
      <c r="R40" s="77">
        <f>IF(R7&lt;1, V7*0.4,V7*0.4*R7)</f>
        <v>1654.39416</v>
      </c>
    </row>
    <row r="41" spans="1:22">
      <c r="B41"/>
    </row>
    <row r="43" spans="1:22">
      <c r="B43" t="s">
        <v>122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56</v>
      </c>
      <c r="K43" t="s">
        <v>57</v>
      </c>
      <c r="L43" t="s">
        <v>58</v>
      </c>
      <c r="M43" t="s">
        <v>59</v>
      </c>
      <c r="N43" t="s">
        <v>60</v>
      </c>
      <c r="O43" t="s">
        <v>61</v>
      </c>
      <c r="P43" t="s">
        <v>62</v>
      </c>
      <c r="Q43" t="s">
        <v>99</v>
      </c>
      <c r="R43" t="s">
        <v>119</v>
      </c>
    </row>
    <row r="44" spans="1:22">
      <c r="B44" t="s">
        <v>123</v>
      </c>
      <c r="C44" s="77">
        <f>SUM(C15,C40,C32,(C26))</f>
        <v>2949.7428273197</v>
      </c>
      <c r="D44" s="77">
        <f>SUM(D15,D40,D32,(D26))</f>
        <v>4655.8765291027</v>
      </c>
      <c r="E44" s="77">
        <f>SUM(E15,E40,E32,(E26))</f>
        <v>1699.6399792556</v>
      </c>
      <c r="F44" s="77">
        <f>SUM(F15,F40,F32,(F26))</f>
        <v>5304.4319614023</v>
      </c>
      <c r="G44" s="77">
        <f>SUM(G15,G40,G32,(G26))</f>
        <v>3930.948385317</v>
      </c>
      <c r="H44" s="77">
        <f>SUM(H15,H40,H32,(H26))</f>
        <v>517.31961434474</v>
      </c>
      <c r="I44" s="77">
        <f>SUM(I15,I40,I32,(I26))</f>
        <v>5921.9482168412</v>
      </c>
      <c r="J44" s="77">
        <f>SUM(J15,J40,J32,(J26))</f>
        <v>5533.9585060826</v>
      </c>
      <c r="K44" s="77">
        <f>SUM(K15,K40,K32,(K26))</f>
        <v>2586.5980717237</v>
      </c>
      <c r="L44" s="77">
        <f>SUM(L15,L40,L32,(L26))</f>
        <v>4138.556914758</v>
      </c>
      <c r="M44" s="77">
        <f>SUM(M15,M40,M32,(M26))</f>
        <v>2675.0869531248</v>
      </c>
      <c r="N44" s="77">
        <f>SUM(N15,N40,N32,(N26))</f>
        <v>1490.6973097566</v>
      </c>
      <c r="O44" s="77">
        <f>SUM(O15,O40,O32,(O26))</f>
        <v>1529.0878706106</v>
      </c>
      <c r="P44" s="77">
        <f>SUM(P15,P40,P32,(P26))</f>
        <v>1116.3212730597</v>
      </c>
      <c r="Q44" s="77">
        <f>SUM(Q15,Q40,Q32,(Q26))</f>
        <v>1800.3429401055</v>
      </c>
      <c r="R44" s="77">
        <f>SUM(C44:Q44)</f>
        <v>45850.557352805</v>
      </c>
    </row>
    <row r="45" spans="1:22">
      <c r="B45" t="s">
        <v>45</v>
      </c>
      <c r="C45">
        <v>405.0</v>
      </c>
      <c r="D45">
        <v>300.0</v>
      </c>
      <c r="E45">
        <v>306.0</v>
      </c>
      <c r="F45">
        <v>204.0</v>
      </c>
      <c r="G45">
        <v>350.0</v>
      </c>
      <c r="H45">
        <v>100.0</v>
      </c>
      <c r="I45">
        <v>300.0</v>
      </c>
      <c r="J45">
        <v>300.0</v>
      </c>
      <c r="K45">
        <v>400.0</v>
      </c>
      <c r="L45">
        <v>200.0</v>
      </c>
      <c r="M45">
        <v>300.0</v>
      </c>
      <c r="N45">
        <v>300.0</v>
      </c>
      <c r="O45">
        <v>288.0</v>
      </c>
      <c r="P45">
        <v>200.0</v>
      </c>
      <c r="Q45">
        <v>10000.0</v>
      </c>
      <c r="R45"/>
    </row>
    <row r="46" spans="1:22">
      <c r="B46" t="s">
        <v>124</v>
      </c>
      <c r="C46" s="77">
        <f>SUM(C44/C45)</f>
        <v>7.2833156230115</v>
      </c>
      <c r="D46" s="77">
        <f>SUM(D44/D45)</f>
        <v>15.519588430342</v>
      </c>
      <c r="E46" s="77">
        <f>SUM(E44/E45)</f>
        <v>5.5543790171752</v>
      </c>
      <c r="F46" s="77">
        <f>SUM(F44/F45)</f>
        <v>26.002117457854</v>
      </c>
      <c r="G46" s="77">
        <f>SUM(G44/G45)</f>
        <v>11.231281100906</v>
      </c>
      <c r="H46" s="77">
        <f>SUM(H44/H45)</f>
        <v>5.1731961434474</v>
      </c>
      <c r="I46" s="77">
        <f>SUM(I44/I45)</f>
        <v>19.739827389471</v>
      </c>
      <c r="J46" s="77">
        <f>SUM(J44/J45)</f>
        <v>18.446528353609</v>
      </c>
      <c r="K46" s="77">
        <f>SUM(K44/K45)</f>
        <v>6.4664951793093</v>
      </c>
      <c r="L46" s="77">
        <f>SUM(L44/L45)</f>
        <v>20.69278457379</v>
      </c>
      <c r="M46" s="77">
        <f>SUM(M44/M45)</f>
        <v>8.916956510416</v>
      </c>
      <c r="N46" s="77">
        <f>SUM(N44/N45)</f>
        <v>4.9689910325219</v>
      </c>
      <c r="O46" s="77">
        <f>SUM(O44/O45)</f>
        <v>5.3093328840645</v>
      </c>
      <c r="P46" s="77">
        <f>SUM(P44/P45)</f>
        <v>5.5816063652986</v>
      </c>
      <c r="Q46" s="77">
        <f>SUM(Q44/Q45)</f>
        <v>0.18003429401055</v>
      </c>
      <c r="R46"/>
    </row>
    <row r="47" spans="1:22">
      <c r="B47" t="s">
        <v>125</v>
      </c>
      <c r="C47" s="84">
        <f>C46*3.7</f>
        <v>26.948267805143</v>
      </c>
      <c r="D47" s="84">
        <f>D46*3.7</f>
        <v>57.422477192267</v>
      </c>
      <c r="E47" s="84">
        <f>E46*3.7</f>
        <v>20.551202363548</v>
      </c>
      <c r="F47" s="84">
        <f>F46*3.7</f>
        <v>96.207834594061</v>
      </c>
      <c r="G47" s="84">
        <f>G46*3.7</f>
        <v>41.555740073351</v>
      </c>
      <c r="H47" s="84">
        <f>H46*3.7</f>
        <v>19.140825730756</v>
      </c>
      <c r="I47" s="84">
        <f>I46*3.7</f>
        <v>73.037361341041</v>
      </c>
      <c r="J47" s="84">
        <f>J46*3.7</f>
        <v>68.252154908352</v>
      </c>
      <c r="K47" s="84">
        <f>K46*3.7</f>
        <v>23.926032163444</v>
      </c>
      <c r="L47" s="84">
        <f>L46*3.7</f>
        <v>76.563302923022</v>
      </c>
      <c r="M47" s="84">
        <f>M46*3.7</f>
        <v>32.992739088539</v>
      </c>
      <c r="N47" s="84">
        <f>N46*3.7</f>
        <v>18.385266820331</v>
      </c>
      <c r="O47" s="84">
        <f>O46*3.7</f>
        <v>19.644531671039</v>
      </c>
      <c r="P47" s="84">
        <f>P46*3.7</f>
        <v>20.651943551605</v>
      </c>
      <c r="Q47" s="84">
        <f>Q46*3.7</f>
        <v>0.66612688783904</v>
      </c>
      <c r="R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