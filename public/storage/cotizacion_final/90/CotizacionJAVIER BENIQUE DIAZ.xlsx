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<sst xmlns="http://schemas.openxmlformats.org/spreadsheetml/2006/main" uniqueCount="121">
  <si>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PRO MUNDO COMEX S.A.C.</t>
  </si>
  <si>
    <t xml:space="preserve">         RUC: 20612452432</t>
  </si>
  <si>
    <t>COTIZACION N002</t>
  </si>
  <si>
    <t>NOMBRE:</t>
  </si>
  <si>
    <t>JAVIER BENIQUE DIAZ</t>
  </si>
  <si>
    <t>SERVICIO:</t>
  </si>
  <si>
    <t>CARGA CONSOLIDADA</t>
  </si>
  <si>
    <t>N° CAJAS:</t>
  </si>
  <si>
    <t>APELLIDO:</t>
  </si>
  <si>
    <t>FECHA:</t>
  </si>
  <si>
    <t>PESO:</t>
  </si>
  <si>
    <t>2.61 Tn</t>
  </si>
  <si>
    <t>DNI/RUC:</t>
  </si>
  <si>
    <t>ORIGEN:</t>
  </si>
  <si>
    <t>CHINA</t>
  </si>
  <si>
    <t>MEDIDA:</t>
  </si>
  <si>
    <t>TELEFONO:</t>
  </si>
  <si>
    <t>51 980 787 514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</si>
  <si>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</si>
  <si>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</si>
  <si>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</si>
  <si>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</si>
  <si>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</si>
  <si>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</si>
  <si>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</si>
  <si>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</si>
  <si>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</si>
  <si>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</si>
  <si>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</si>
  <si>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</si>
  <si>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</si>
  <si>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</si>
  <si>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</si>
  <si>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</si>
  <si>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</si>
  <si>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</si>
  <si>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</si>
  <si>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</si>
  <si>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</si>
  <si>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</si>
  <si>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</si>
  <si>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</si>
  <si>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</si>
  <si>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</si>
  <si>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</si>
  <si>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</si>
  <si>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</si>
  <si>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</si>
  <si>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</si>
  <si>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PLANCHA DE MALLA HEXAGONAL</t>
  </si>
  <si>
    <t>CHAPA MARIPOSA PARA CAJA RACK</t>
  </si>
  <si>
    <t>ASA GARRUCHA  PARA CAJA RACK</t>
  </si>
  <si>
    <t>ESCUADRA DOBLE DE ESQUINERO</t>
  </si>
  <si>
    <t>RUEDA DE CAJA DE TRANSPORTE</t>
  </si>
  <si>
    <t>RIEL ANGULAR METALICO</t>
  </si>
  <si>
    <t>22. El monto facturado sera en base al valor de la mercaderia + Gastos Logisticos</t>
  </si>
  <si>
    <t>21.Se emitirá comprobante (boleta o Factura) de su importación en base a la estrategia de declaración realizada.</t>
  </si>
  <si>
    <t>20.Las mercancías son declaradas a nombre de la empresa Grupo Pro Business.</t>
  </si>
  <si>
    <t>19.La fecha de entrega es aproximada, está sujeto a variaciones.</t>
  </si>
  <si>
    <t>18.No somos responsable de las mermas o faltante de la carga (entregamos su pedido tal cual el proveedor envío).</t>
  </si>
  <si>
    <t>17.Los ajustes de valor que aplique la aduana serán asumidos por el cliente.</t>
  </si>
  <si>
    <t>16.Si el cliente no paga los tributos o gastos administrativos de su cotización, Pro Business será dueño total de la carga.</t>
  </si>
  <si>
    <t xml:space="preserve">15.El cliente estará sujeto a pagar mayor el ad- valorem en caso aduanas aplique cambios de partida. </t>
  </si>
  <si>
    <t>se procederá a realizar las acciones legales del caso.</t>
  </si>
  <si>
    <t xml:space="preserve">14.En caso el cliente esté importando una carga que no sea legal y la empresa Pro Business se vea perjudicada, </t>
  </si>
  <si>
    <t>de acogerse a un beneficio arancelario (C.O).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</si>
  <si>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</si>
  <si>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12.No se aceptan productos restringido.</t>
  </si>
  <si>
    <t>11. El costo por metro cubico incluye: Flete – Ag. Aduana – Costos en destino.</t>
  </si>
  <si>
    <t>10. Si aduana realiza un ajuste de valor a su importación, el cliente tendrá que pagar la diferencia.</t>
  </si>
  <si>
    <t>9.No hay opción de reembolso.</t>
  </si>
  <si>
    <t>coordinador  logístico la tarifa.</t>
  </si>
  <si>
    <t>8. Las cargas mayores a 200 kg x bulto tendrán un costo adicional por manipuleo, consultar con el</t>
  </si>
  <si>
    <t>Costo: desde s/20.00</t>
  </si>
  <si>
    <t>7.Los envíos a provincia se realizan a través de la agencia Marvisur o Shalom, con previo pago de flete interno.</t>
  </si>
  <si>
    <t>6.Se procederá a cobrar S/.30 x día de almacenaje si el cliente no recoge su pedido en el plazo acordado.</t>
  </si>
  <si>
    <t>5.Los pagos realizados fuera de fecha están sujetos a un recargo de S/.30 por día.</t>
  </si>
  <si>
    <t>En caso contrario, asumirá el costo de  almacenaje $30 y será embarcado en la próxima salida.</t>
  </si>
  <si>
    <t>4. La carga deberá llegar al almacén –Yiwu en el rango de fecha indicado por su asesor.</t>
  </si>
  <si>
    <t>3. No somos responsables de retraso del proveedor para entregar la carga.</t>
  </si>
  <si>
    <t xml:space="preserve"> No se aceptan marcas con medidas  de frontera. </t>
  </si>
  <si>
    <t>2.Todas las marcas de los productos deben ser verificadas por el cliente,</t>
  </si>
  <si>
    <t xml:space="preserve">1. Todos los pagos se realizan en dólares. </t>
  </si>
  <si>
    <t>TÉRMINOS Y CONDICIONES:</t>
  </si>
  <si>
    <t xml:space="preserve">       RUC: 20612452432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</si>
  <si>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</si>
  <si>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</si>
  <si>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</si>
  <si>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</si>
  <si>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</si>
  <si>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t>NOTAS:</t>
  </si>
  <si>
    <t>PIN DE BLOQUEO PARA PARLANTE</t>
  </si>
  <si>
    <t>Hola JAVIER BENIQUE DIAZ 😁 un gusto saludarte!
        A continuación te envío la cotización final de tu importación📋📦.
        🙋‍♂️ PAGO PENDIENTE :
        ☑️Costo CBM: $415.8
        ☑️Impuestos: $1355.81
        ☑️ Total: $1771.61
        Pronto le aviso nuevos avances, que tengan buen día🚢
        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</si>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</sst>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S/-280A]\ * #,##0.00_-;\-[$S/-280A]\ * #,##0.00_-;_-[$S/-280A]\ * &quot;-&quot;??_-;_-@_-"/>
    <numFmt numFmtId="167" formatCode="#,##0.000\ &quot;m3&quot;"/>
    <numFmt numFmtId="168" formatCode="0.0\ &quot;cm&quot;"/>
    <numFmt numFmtId="169" formatCode="0.0\ &quot;kg&quot;"/>
    <numFmt numFmtId="170" formatCode="&quot;$&quot;#,##0_-"/>
    <numFmt numFmtId="171" formatCode="0.00&quot; tn&quot;"/>
    <numFmt numFmtId="172" formatCode="&quot;S/.&quot; #,##0.00_-"/>
    <numFmt numFmtId="173" formatCode="$#,##0.00"/>
    <numFmt numFmtId="174" formatCode="_-[$$-409]* #,##0.00_ ;_-[$$-409]* \-#,##0.00\ ;_-[$$-409]* &quot;-&quot;??_ ;_-@_ "/>
  </numFmts>
  <fonts count="23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0"/>
      <i val="0"/>
      <strike val="0"/>
      <u val="single"/>
      <sz val="11"/>
      <color rgb="FF000000"/>
      <name val="Calibri"/>
      <scheme val="min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1"/>
      <i val="0"/>
      <strike val="0"/>
      <u val="none"/>
      <sz val="20"/>
      <color rgb="FF000000"/>
      <name val="Calibri"/>
      <scheme val="minor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2"/>
      <color rgb="FFFFFFFF"/>
      <name val="Arial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2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1"/>
      <color rgb="FF000000"/>
      <name val="Calibri Light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5" numFmtId="0" fillId="2" borderId="4" applyFont="1" applyNumberFormat="0" applyFill="1" applyBorder="1" applyAlignment="0"/>
    <xf xfId="0" fontId="6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7" applyFont="1" applyNumberFormat="0" applyFill="1" applyBorder="1" applyAlignment="1">
      <alignment horizontal="center" vertical="bottom" textRotation="0" wrapText="false" shrinkToFit="false"/>
    </xf>
    <xf xfId="0" fontId="1" numFmtId="165" fillId="2" borderId="7" applyFont="1" applyNumberFormat="1" applyFill="1" applyBorder="1" applyAlignment="1">
      <alignment horizontal="center" vertical="bottom" textRotation="0" wrapText="false" shrinkToFit="false"/>
    </xf>
    <xf xfId="0" fontId="1" numFmtId="166" fillId="2" borderId="0" applyFont="1" applyNumberFormat="1" applyFill="1" applyBorder="0" applyAlignment="0"/>
    <xf xfId="0" fontId="0" numFmtId="166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8" applyFont="1" applyNumberFormat="0" applyFill="1" applyBorder="1" applyAlignment="0"/>
    <xf xfId="0" fontId="6" numFmtId="0" fillId="2" borderId="8" applyFont="1" applyNumberFormat="0" applyFill="1" applyBorder="1" applyAlignment="1">
      <alignment vertical="center" textRotation="0" wrapText="false" shrinkToFit="false"/>
    </xf>
    <xf xfId="0" fontId="7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8" numFmtId="0" fillId="2" borderId="0" applyFont="1" applyNumberFormat="0" applyFill="1" applyBorder="0" applyAlignment="0"/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1" numFmtId="167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9" numFmtId="0" fillId="3" borderId="0" applyFont="1" applyNumberFormat="0" applyFill="1" applyBorder="0" applyAlignment="1">
      <alignment horizontal="left" vertical="bottom" textRotation="0" wrapText="false" shrinkToFit="false"/>
    </xf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6" numFmtId="166" fillId="3" borderId="1" applyFont="1" applyNumberFormat="1" applyFill="1" applyBorder="1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2" numFmtId="0" fillId="2" borderId="7" applyFont="1" applyNumberFormat="0" applyFill="1" applyBorder="1" applyAlignment="0"/>
    <xf xfId="0" fontId="1" numFmtId="0" fillId="2" borderId="2" applyFont="1" applyNumberFormat="0" applyFill="1" applyBorder="1" applyAlignment="0"/>
    <xf xfId="0" fontId="11" numFmtId="0" fillId="2" borderId="0" applyFont="1" applyNumberFormat="0" applyFill="1" applyBorder="0" applyAlignment="1">
      <alignment horizontal="center" vertical="bottom" textRotation="0" wrapText="false" shrinkToFit="false"/>
    </xf>
    <xf xfId="0" fontId="9" numFmtId="0" fillId="3" borderId="0" applyFont="1" applyNumberFormat="0" applyFill="1" applyBorder="0" applyAlignment="0"/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13" numFmtId="0" fillId="3" borderId="9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0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68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0"/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8" applyFont="1" applyNumberFormat="1" applyFill="1" applyBorder="1" applyAlignment="1">
      <alignment horizontal="left" vertical="bottom" textRotation="0" wrapText="false" shrinkToFit="false"/>
    </xf>
    <xf xfId="0" fontId="0" numFmtId="0" fillId="2" borderId="8" applyFont="0" applyNumberFormat="0" applyFill="1" applyBorder="1" applyAlignment="0"/>
    <xf xfId="0" fontId="1" numFmtId="0" fillId="2" borderId="7" applyFont="1" applyNumberFormat="0" applyFill="1" applyBorder="1" applyAlignment="0"/>
    <xf xfId="0" fontId="1" numFmtId="0" fillId="2" borderId="12" applyFont="1" applyNumberFormat="0" applyFill="1" applyBorder="1" applyAlignment="0"/>
    <xf xfId="0" fontId="2" numFmtId="0" fillId="2" borderId="2" applyFont="1" applyNumberFormat="0" applyFill="1" applyBorder="1" applyAlignment="0"/>
    <xf xfId="0" fontId="14" numFmtId="0" fillId="5" borderId="0" applyFont="1" applyNumberFormat="0" applyFill="1" applyBorder="0" applyAlignment="1">
      <alignment horizontal="left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6" numFmtId="0" fillId="8" borderId="0" applyFont="1" applyNumberFormat="0" applyFill="1" applyBorder="0" applyAlignment="0"/>
    <xf xfId="0" fontId="6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0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0" fillId="0" borderId="0" applyFont="0" applyNumberFormat="0" applyFill="0" applyBorder="0" applyAlignment="1">
      <alignment horizontal="center" vertical="center" textRotation="0" wrapText="false" shrinkToFit="true"/>
    </xf>
    <xf xfId="0" fontId="0" numFmtId="171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5" numFmtId="10" fillId="0" borderId="0" applyFont="1" applyNumberFormat="1" applyFill="0" applyBorder="0" applyAlignment="0"/>
    <xf xfId="0" fontId="0" numFmtId="172" fillId="0" borderId="0" applyFont="0" applyNumberFormat="1" applyFill="0" applyBorder="0" applyAlignment="0"/>
    <xf xfId="0" fontId="5" numFmtId="170" fillId="0" borderId="0" applyFont="1" applyNumberFormat="1" applyFill="0" applyBorder="0" applyAlignment="0"/>
    <xf xfId="0" fontId="16" numFmtId="0" fillId="2" borderId="1" applyFont="1" applyNumberFormat="0" applyFill="1" applyBorder="1" applyAlignment="1">
      <alignment horizontal="center" vertical="bottom" textRotation="0" wrapText="false" shrinkToFit="false"/>
    </xf>
    <xf xfId="0" fontId="17" numFmtId="172" fillId="3" borderId="1" applyFont="1" applyNumberFormat="1" applyFill="1" applyBorder="1" applyAlignment="1">
      <alignment horizontal="center" vertical="bottom" textRotation="0" wrapText="false" shrinkToFit="false"/>
    </xf>
    <xf xfId="0" fontId="16" numFmtId="173" fillId="2" borderId="1" applyFont="1" applyNumberFormat="1" applyFill="1" applyBorder="1" applyAlignment="1">
      <alignment horizontal="center" vertical="bottom" textRotation="0" wrapText="false" shrinkToFit="false"/>
    </xf>
    <xf xfId="0" fontId="16" numFmtId="174" fillId="2" borderId="1" applyFont="1" applyNumberFormat="1" applyFill="1" applyBorder="1" applyAlignment="1">
      <alignment horizontal="center" vertical="bottom" textRotation="0" wrapText="false" shrinkToFit="false"/>
    </xf>
    <xf xfId="0" fontId="16" numFmtId="173" fillId="0" borderId="1" applyFont="1" applyNumberFormat="1" applyFill="0" applyBorder="1" applyAlignment="1">
      <alignment horizontal="center" vertical="bottom" textRotation="0" wrapText="false" shrinkToFit="false"/>
    </xf>
    <xf xfId="0" fontId="18" numFmtId="166" fillId="2" borderId="1" applyFont="1" applyNumberFormat="1" applyFill="1" applyBorder="1" applyAlignment="1">
      <alignment horizontal="left" vertical="bottom" textRotation="0" wrapText="false" shrinkToFit="false"/>
    </xf>
    <xf xfId="0" fontId="19" numFmtId="0" fillId="2" borderId="1" applyFont="1" applyNumberFormat="0" applyFill="1" applyBorder="1" applyAlignment="1">
      <alignment horizontal="center" vertical="bottom" textRotation="0" wrapText="false" shrinkToFit="false"/>
    </xf>
    <xf xfId="0" fontId="19" numFmtId="173" fillId="2" borderId="1" applyFont="1" applyNumberFormat="1" applyFill="1" applyBorder="1" applyAlignment="1">
      <alignment horizontal="center" vertical="bottom" textRotation="0" wrapText="false" shrinkToFit="false"/>
    </xf>
    <xf xfId="0" fontId="19" numFmtId="174" fillId="2" borderId="1" applyFont="1" applyNumberFormat="1" applyFill="1" applyBorder="1" applyAlignment="1">
      <alignment horizontal="center" vertical="bottom" textRotation="0" wrapText="false" shrinkToFit="false"/>
    </xf>
    <xf xfId="0" fontId="20" numFmtId="172" fillId="3" borderId="1" applyFont="1" applyNumberFormat="1" applyFill="1" applyBorder="1" applyAlignment="1">
      <alignment horizontal="center" vertical="bottom" textRotation="0" wrapText="false" shrinkToFit="false"/>
    </xf>
    <xf xfId="0" fontId="21" numFmtId="166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173" fillId="2" borderId="0" applyFont="1" applyNumberFormat="1" applyFill="1" applyBorder="0" applyAlignment="1">
      <alignment horizontal="center" vertical="bottom" textRotation="0" wrapText="false" shrinkToFit="false"/>
    </xf>
    <xf xfId="0" fontId="22" numFmtId="0" fillId="2" borderId="0" applyFont="1" applyNumberFormat="0" applyFill="1" applyBorder="0" applyAlignment="0"/>
    <xf xfId="0" fontId="1" numFmtId="4" fillId="6" borderId="0" applyFont="1" applyNumberFormat="1" applyFill="1" applyBorder="0" applyAlignment="1">
      <alignment horizontal="center" vertical="bottom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1f78b0b20a5af0f63523c85db991bfe.png"/><Relationship Id="rId2" Type="http://schemas.openxmlformats.org/officeDocument/2006/relationships/image" Target="../media/01f78b0b20a5af0f63523c85db991bfe.png"/><Relationship Id="rId3" Type="http://schemas.openxmlformats.org/officeDocument/2006/relationships/image" Target="../media/8420f0b723481e6ca4d872a85aacfd7b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50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86</xdr:row>
      <xdr:rowOff>104775</xdr:rowOff>
    </xdr:from>
    <xdr:to>
      <xdr:col>8</xdr:col>
      <xdr:colOff>504825</xdr:colOff>
      <xdr:row>104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2"/>
  <sheetViews>
    <sheetView tabSelected="0" workbookViewId="0" zoomScale="85" zoomScaleNormal="85" showGridLines="false" showRowColHeaders="1" topLeftCell="A25">
      <selection activeCell="C8" sqref="C8"/>
    </sheetView>
  </sheetViews>
  <sheetFormatPr defaultRowHeight="14.4" defaultColWidth="10.7109375" outlineLevelRow="0" outlineLevelCol="0"/>
  <cols>
    <col min="1" max="1" width="7.140625" customWidth="true" style="1"/>
    <col min="2" max="2" width="11.7109375" customWidth="true" style="1"/>
    <col min="3" max="3" width="21.42578125" customWidth="true" style="1"/>
    <col min="4" max="4" width="0.85546875" customWidth="true" style="1"/>
    <col min="5" max="5" width="12.140625" customWidth="true" style="1"/>
    <col min="6" max="6" width="10.7109375" style="1"/>
    <col min="7" max="7" width="15.85546875" customWidth="true" style="1"/>
    <col min="8" max="8" width="0.85546875" customWidth="true" style="1"/>
    <col min="9" max="9" width="11.711" bestFit="true" customWidth="true" style="1"/>
    <col min="10" max="10" width="10.7109375" style="1"/>
    <col min="11" max="11" width="10.7109375" style="1"/>
    <col min="12" max="12" width="8.7109375" customWidth="true" style="1"/>
    <col min="13" max="13" width="10.7109375" style="1"/>
  </cols>
  <sheetData>
    <row r="1" spans="1:14" customHeight="1" ht="18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/>
    </row>
    <row r="2" spans="1:14" customHeight="1" ht="18">
      <c r="B2" s="38"/>
      <c r="C2" s="38"/>
      <c r="E2" s="49"/>
      <c r="F2" s="49"/>
      <c r="G2" s="49"/>
      <c r="H2" s="49"/>
      <c r="I2" s="49"/>
      <c r="J2" s="49"/>
      <c r="K2" s="49"/>
      <c r="L2" s="49"/>
      <c r="M2"/>
    </row>
    <row r="3" spans="1:14" customHeight="1" ht="26.25">
      <c r="B3" s="38"/>
      <c r="C3" s="38"/>
      <c r="E3" s="56" t="s">
        <v>0</v>
      </c>
      <c r="F3" s="56"/>
      <c r="G3" s="56"/>
      <c r="H3" s="56"/>
      <c r="I3" s="56"/>
      <c r="J3" s="56"/>
      <c r="M3"/>
    </row>
    <row r="4" spans="1:14" customHeight="1" ht="26.25">
      <c r="B4" s="38"/>
      <c r="C4" s="38"/>
      <c r="E4" s="57" t="s">
        <v>1</v>
      </c>
      <c r="F4" s="57"/>
      <c r="G4" s="57"/>
      <c r="H4" s="57"/>
      <c r="I4" s="57"/>
      <c r="J4" s="57"/>
      <c r="K4" s="11"/>
      <c r="M4"/>
    </row>
    <row r="5" spans="1:14">
      <c r="B5" s="38"/>
      <c r="C5" s="38"/>
      <c r="D5" s="35"/>
      <c r="M5" s="1"/>
    </row>
    <row r="6" spans="1:14">
      <c r="B6" s="38"/>
      <c r="C6" s="38"/>
      <c r="D6" s="23"/>
      <c r="F6" s="23"/>
      <c r="G6" s="23"/>
      <c r="H6" s="23"/>
      <c r="M6" s="1"/>
    </row>
    <row r="7" spans="1:14">
      <c r="A7" s="38"/>
      <c r="B7" s="38"/>
      <c r="C7" s="38"/>
      <c r="E7" s="65" t="s">
        <v>2</v>
      </c>
      <c r="F7" s="65"/>
      <c r="G7" s="65"/>
      <c r="I7" s="38"/>
      <c r="J7" s="38"/>
      <c r="K7" s="38"/>
      <c r="L7" s="38"/>
      <c r="M7" s="1"/>
    </row>
    <row r="8" spans="1:14">
      <c r="B8" s="6" t="s">
        <v>3</v>
      </c>
      <c r="C8" s="102" t="s">
        <v>4</v>
      </c>
      <c r="D8" s="33"/>
      <c r="E8" s="20" t="s">
        <v>5</v>
      </c>
      <c r="F8" s="69" t="s">
        <v>6</v>
      </c>
      <c r="G8" s="70"/>
      <c r="H8" s="32"/>
      <c r="I8" s="1" t="s">
        <v>7</v>
      </c>
      <c r="J8" s="61">
        <f>+'2'!F7</f>
        <v>0</v>
      </c>
      <c r="K8" s="61"/>
      <c r="L8" s="61"/>
      <c r="M8" s="1"/>
    </row>
    <row r="9" spans="1:14">
      <c r="B9" s="6" t="s">
        <v>8</v>
      </c>
      <c r="C9" s="14"/>
      <c r="D9" s="33"/>
      <c r="E9" s="21" t="s">
        <v>9</v>
      </c>
      <c r="F9" s="66">
        <f>+TODAY()</f>
        <v>45969</v>
      </c>
      <c r="G9" s="67"/>
      <c r="H9" s="32"/>
      <c r="I9" s="1" t="s">
        <v>10</v>
      </c>
      <c r="J9" s="101" t="s">
        <v>11</v>
      </c>
      <c r="K9" s="64"/>
      <c r="L9" s="64"/>
      <c r="M9" s="1"/>
    </row>
    <row r="10" spans="1:14">
      <c r="B10" s="6" t="s">
        <v>12</v>
      </c>
      <c r="C10" s="14">
        <v>43523771</v>
      </c>
      <c r="D10" s="33"/>
      <c r="E10" s="25" t="s">
        <v>13</v>
      </c>
      <c r="F10" s="49" t="s">
        <v>14</v>
      </c>
      <c r="G10" s="68"/>
      <c r="H10" s="32"/>
      <c r="I10" s="1" t="s">
        <v>15</v>
      </c>
      <c r="J10" s="62"/>
      <c r="K10" s="101"/>
      <c r="L10" s="62"/>
      <c r="M10" s="1"/>
    </row>
    <row r="11" spans="1:14">
      <c r="B11" s="6" t="s">
        <v>16</v>
      </c>
      <c r="C11" s="15" t="s">
        <v>17</v>
      </c>
      <c r="D11" s="34"/>
      <c r="E11" s="22" t="s">
        <v>18</v>
      </c>
      <c r="F11" s="51" t="s">
        <v>19</v>
      </c>
      <c r="G11" s="63"/>
      <c r="H11" s="32"/>
      <c r="I11" s="1" t="s">
        <v>20</v>
      </c>
      <c r="J11" s="100">
        <f>'2'!J7</f>
        <v>1.48</v>
      </c>
      <c r="K11" s="44"/>
      <c r="L11" s="44"/>
      <c r="M11" s="1"/>
    </row>
    <row r="12" spans="1:14"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1"/>
    </row>
    <row r="13" spans="1:14">
      <c r="B13" s="53" t="s">
        <v>21</v>
      </c>
      <c r="C13" s="53"/>
      <c r="D13" s="53"/>
      <c r="E13" s="53"/>
      <c r="F13" s="53"/>
      <c r="G13" s="53"/>
      <c r="H13" s="53"/>
      <c r="I13" s="53"/>
      <c r="J13" s="53"/>
      <c r="K13" s="8" t="s">
        <v>22</v>
      </c>
      <c r="L13" s="8" t="s">
        <v>23</v>
      </c>
      <c r="M13" s="1"/>
    </row>
    <row r="14" spans="1:14">
      <c r="B14" s="36" t="s">
        <v>24</v>
      </c>
      <c r="C14" s="36"/>
      <c r="D14" s="36"/>
      <c r="E14" s="36"/>
      <c r="F14" s="36"/>
      <c r="G14" s="36"/>
      <c r="H14" s="36"/>
      <c r="I14" s="36"/>
      <c r="J14" s="36"/>
      <c r="K14" s="12">
        <f>'2'!J11</f>
        <v>5715.75</v>
      </c>
      <c r="L14" s="7" t="s">
        <v>25</v>
      </c>
      <c r="M14" s="1"/>
    </row>
    <row r="15" spans="1:14">
      <c r="B15" s="54" t="s">
        <v>26</v>
      </c>
      <c r="C15" s="54"/>
      <c r="D15" s="54"/>
      <c r="E15" s="54"/>
      <c r="F15" s="54"/>
      <c r="G15" s="54"/>
      <c r="H15" s="54"/>
      <c r="I15" s="54"/>
      <c r="J15" s="54"/>
      <c r="K15" s="13">
        <f>'2'!J14 + '2'!J17</f>
        <v>410.8</v>
      </c>
      <c r="L15" s="10" t="s">
        <v>25</v>
      </c>
      <c r="M15" s="1"/>
    </row>
    <row r="16" spans="1:14">
      <c r="B16" s="50" t="s">
        <v>27</v>
      </c>
      <c r="C16" s="50"/>
      <c r="D16" s="50"/>
      <c r="E16" s="50"/>
      <c r="F16" s="50"/>
      <c r="G16" s="50"/>
      <c r="H16" s="50"/>
      <c r="I16" s="50"/>
      <c r="J16" s="50"/>
      <c r="K16" s="12">
        <f>SUM(K14:K15)</f>
        <v>6126.55</v>
      </c>
      <c r="L16" s="7" t="s">
        <v>25</v>
      </c>
      <c r="M16" s="1"/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1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1"/>
    </row>
    <row r="19" spans="1:14">
      <c r="B19" s="46" t="s">
        <v>28</v>
      </c>
      <c r="C19" s="46"/>
      <c r="D19" s="46"/>
      <c r="E19" s="46"/>
      <c r="F19" s="46"/>
      <c r="G19" s="16"/>
      <c r="H19" s="16"/>
      <c r="I19" s="16"/>
      <c r="J19" s="8" t="s">
        <v>29</v>
      </c>
      <c r="K19" s="8" t="s">
        <v>22</v>
      </c>
      <c r="L19" s="8" t="s">
        <v>23</v>
      </c>
      <c r="M19" s="1"/>
    </row>
    <row r="20" spans="1:14">
      <c r="B20" s="39" t="s">
        <v>30</v>
      </c>
      <c r="C20" s="39"/>
      <c r="D20" s="39"/>
      <c r="E20" s="39"/>
      <c r="F20" s="39"/>
      <c r="G20" s="39"/>
      <c r="H20" s="39"/>
      <c r="I20" s="39"/>
      <c r="J20" s="18">
        <f>MAX('2'!C27:H27)</f>
        <v>0</v>
      </c>
      <c r="K20" s="12">
        <f>'2'!J28</f>
        <v>0</v>
      </c>
      <c r="L20" s="7" t="s">
        <v>25</v>
      </c>
      <c r="M20" s="1"/>
      <c r="N20" t="s">
        <v>92</v>
      </c>
    </row>
    <row r="21" spans="1:14">
      <c r="B21" s="39" t="s">
        <v>31</v>
      </c>
      <c r="C21" s="39"/>
      <c r="D21" s="39"/>
      <c r="E21" s="39"/>
      <c r="F21" s="39"/>
      <c r="G21" s="39"/>
      <c r="H21" s="39"/>
      <c r="I21" s="39"/>
      <c r="J21" s="18">
        <v>0.16</v>
      </c>
      <c r="K21" s="12">
        <f>'2'!J29</f>
        <v>980.248</v>
      </c>
      <c r="L21" s="7" t="s">
        <v>25</v>
      </c>
      <c r="M21" s="1"/>
    </row>
    <row r="22" spans="1:14">
      <c r="B22" s="51" t="s">
        <v>32</v>
      </c>
      <c r="C22" s="51"/>
      <c r="D22" s="51"/>
      <c r="E22" s="51"/>
      <c r="F22" s="51"/>
      <c r="G22" s="51"/>
      <c r="H22" s="51"/>
      <c r="I22" s="51"/>
      <c r="J22" s="18">
        <v>0.02</v>
      </c>
      <c r="K22" s="12">
        <f>'2'!J30</f>
        <v>122.531</v>
      </c>
      <c r="L22" s="7" t="s">
        <v>25</v>
      </c>
      <c r="M22" s="1"/>
    </row>
    <row r="23" spans="1:14">
      <c r="B23" s="50" t="s">
        <v>33</v>
      </c>
      <c r="C23" s="50"/>
      <c r="D23" s="50"/>
      <c r="E23" s="50"/>
      <c r="F23" s="50"/>
      <c r="G23" s="50"/>
      <c r="H23" s="50"/>
      <c r="I23" s="50"/>
      <c r="J23" s="27"/>
      <c r="K23" s="28">
        <f>SUM(K20:K22)</f>
        <v>1102.779</v>
      </c>
      <c r="L23" s="27" t="s">
        <v>25</v>
      </c>
      <c r="M23" s="1"/>
    </row>
    <row r="24" spans="1:14">
      <c r="B24" s="39"/>
      <c r="C24" s="39"/>
      <c r="D24" s="39"/>
      <c r="E24" s="39"/>
      <c r="F24" s="39"/>
      <c r="G24" s="39"/>
      <c r="H24" s="39"/>
      <c r="I24" s="39"/>
      <c r="J24" s="2"/>
      <c r="K24" s="9"/>
      <c r="L24" s="7"/>
      <c r="M24" s="1"/>
    </row>
    <row r="25" spans="1:14">
      <c r="B25" s="51" t="s">
        <v>34</v>
      </c>
      <c r="C25" s="51"/>
      <c r="D25" s="51"/>
      <c r="E25" s="51"/>
      <c r="F25" s="51"/>
      <c r="G25" s="51"/>
      <c r="H25" s="51"/>
      <c r="I25" s="51"/>
      <c r="J25" s="19" t="s">
        <v>35</v>
      </c>
      <c r="K25" s="13">
        <f>'2'!J31</f>
        <v>253.026515</v>
      </c>
      <c r="L25" s="10" t="s">
        <v>25</v>
      </c>
      <c r="M25" s="1"/>
    </row>
    <row r="26" spans="1:14">
      <c r="B26" s="50" t="s">
        <v>36</v>
      </c>
      <c r="C26" s="50"/>
      <c r="D26" s="50"/>
      <c r="E26" s="50"/>
      <c r="F26" s="50"/>
      <c r="G26" s="50"/>
      <c r="H26" s="50"/>
      <c r="I26" s="50"/>
      <c r="K26" s="12">
        <f>K23+K25</f>
        <v>1355.805515</v>
      </c>
      <c r="L26" s="7" t="s">
        <v>25</v>
      </c>
      <c r="M26" s="1"/>
    </row>
    <row r="27" spans="1:14">
      <c r="B27" s="49"/>
      <c r="C27" s="49"/>
      <c r="D27" s="49"/>
      <c r="E27" s="49"/>
      <c r="F27" s="49"/>
      <c r="G27" s="49"/>
      <c r="H27" s="49"/>
      <c r="I27" s="49"/>
      <c r="M27" s="1"/>
    </row>
    <row r="28" spans="1:14" customHeight="1" ht="15.75">
      <c r="B28" s="72" t="s">
        <v>37</v>
      </c>
      <c r="C28" s="72"/>
      <c r="D28" s="72"/>
      <c r="E28" s="72"/>
      <c r="F28" s="72"/>
      <c r="G28" s="72"/>
      <c r="H28" s="72"/>
      <c r="I28" s="72"/>
      <c r="J28" s="72"/>
      <c r="K28" s="26" t="s">
        <v>22</v>
      </c>
      <c r="L28" s="26" t="s">
        <v>23</v>
      </c>
      <c r="M28"/>
    </row>
    <row r="29" spans="1:14">
      <c r="B29" s="39" t="s">
        <v>38</v>
      </c>
      <c r="C29" s="39"/>
      <c r="D29" s="39"/>
      <c r="E29" s="39"/>
      <c r="F29" s="39"/>
      <c r="G29" s="39"/>
      <c r="H29" s="39"/>
      <c r="I29" s="39"/>
      <c r="J29" s="39"/>
      <c r="K29" s="12">
        <f>K14</f>
        <v>5715.75</v>
      </c>
      <c r="L29" s="7" t="s">
        <v>25</v>
      </c>
      <c r="M29" s="1"/>
    </row>
    <row r="30" spans="1:14">
      <c r="B30" s="39" t="s">
        <v>39</v>
      </c>
      <c r="C30" s="39"/>
      <c r="D30" s="39"/>
      <c r="E30" s="39"/>
      <c r="F30" s="39"/>
      <c r="G30" s="39"/>
      <c r="H30" s="39"/>
      <c r="I30" s="39"/>
      <c r="J30" s="39"/>
      <c r="K30" s="12">
        <f>IF(J11&lt;1, '2'!N7, '2'!N7*J11)</f>
        <v>518</v>
      </c>
      <c r="L30" s="7" t="s">
        <v>25</v>
      </c>
      <c r="M30" s="1"/>
    </row>
    <row r="31" spans="1:14">
      <c r="B31" s="51" t="s">
        <v>40</v>
      </c>
      <c r="C31" s="51"/>
      <c r="D31" s="51"/>
      <c r="E31" s="51"/>
      <c r="F31" s="51"/>
      <c r="G31" s="51"/>
      <c r="H31" s="51"/>
      <c r="I31" s="51"/>
      <c r="J31" s="51"/>
      <c r="K31" s="13">
        <f>K26</f>
        <v>1355.805515</v>
      </c>
      <c r="L31" s="10" t="s">
        <v>25</v>
      </c>
      <c r="M31" s="1"/>
    </row>
    <row r="32" spans="1:14">
      <c r="B32" s="50" t="s">
        <v>41</v>
      </c>
      <c r="C32" s="50"/>
      <c r="D32" s="50"/>
      <c r="E32" s="50"/>
      <c r="F32" s="50"/>
      <c r="G32" s="50"/>
      <c r="H32" s="50"/>
      <c r="I32" s="50"/>
      <c r="J32" s="50"/>
      <c r="K32" s="12">
        <f>SUM(K29:K31)</f>
        <v>7589.555515</v>
      </c>
      <c r="L32" s="7" t="s">
        <v>25</v>
      </c>
      <c r="M32" s="1"/>
    </row>
    <row r="33" spans="1:14"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1"/>
    </row>
    <row r="34" spans="1:14">
      <c r="B34" s="58" t="s">
        <v>42</v>
      </c>
      <c r="C34" s="59"/>
      <c r="D34" s="59"/>
      <c r="E34" s="59"/>
      <c r="F34" s="59"/>
      <c r="G34" s="59"/>
      <c r="H34" s="59"/>
      <c r="I34" s="59"/>
      <c r="J34" s="59"/>
      <c r="K34" s="59"/>
      <c r="L34" s="60"/>
      <c r="M34" s="1"/>
    </row>
    <row r="35" spans="1:14">
      <c r="B35" s="17" t="s">
        <v>43</v>
      </c>
      <c r="C35" s="41" t="s">
        <v>44</v>
      </c>
      <c r="D35" s="42"/>
      <c r="E35" s="43"/>
      <c r="F35" s="4" t="s">
        <v>45</v>
      </c>
      <c r="G35" s="41" t="s">
        <v>46</v>
      </c>
      <c r="H35" s="43"/>
      <c r="I35" s="3" t="s">
        <v>47</v>
      </c>
      <c r="J35" s="24" t="s">
        <v>36</v>
      </c>
      <c r="K35" s="48" t="s">
        <v>48</v>
      </c>
      <c r="L35" s="48"/>
      <c r="M35" s="1"/>
    </row>
    <row r="36" spans="1:14">
      <c r="A36" s="1"/>
      <c r="B36" s="86">
        <v>1</v>
      </c>
      <c r="C36" s="86" t="s">
        <v>49</v>
      </c>
      <c r="D36" s="86"/>
      <c r="E36" s="86"/>
      <c r="F36" s="86">
        <f>'2'!C10</f>
        <v>200</v>
      </c>
      <c r="G36" s="88">
        <f>'2'!C8</f>
        <v>13.74</v>
      </c>
      <c r="H36" s="89"/>
      <c r="I36" s="88">
        <f>'2'!C46</f>
        <v>18.244411105472</v>
      </c>
      <c r="J36" s="88">
        <f>'2'!C44</f>
        <v>3648.8822210943</v>
      </c>
      <c r="K36" s="87">
        <f>'2'!C47</f>
        <v>67.504321090245</v>
      </c>
      <c r="L36" s="48"/>
      <c r="M36" s="1"/>
    </row>
    <row r="37" spans="1:14" customHeight="1" ht="15.75">
      <c r="A37"/>
      <c r="B37" s="86">
        <v>2</v>
      </c>
      <c r="C37" s="86" t="s">
        <v>50</v>
      </c>
      <c r="D37" s="86"/>
      <c r="E37" s="86"/>
      <c r="F37" s="86">
        <f>'2'!D10</f>
        <v>500</v>
      </c>
      <c r="G37" s="88">
        <f>'2'!D8</f>
        <v>0.73</v>
      </c>
      <c r="H37" s="86"/>
      <c r="I37" s="90">
        <f>'2'!D46</f>
        <v>0.96931732947557</v>
      </c>
      <c r="J37" s="88">
        <f>'2'!D44</f>
        <v>484.65866473779</v>
      </c>
      <c r="K37" s="87">
        <f>'2'!D47</f>
        <v>3.5864741190596</v>
      </c>
      <c r="L37" s="91"/>
      <c r="M37"/>
    </row>
    <row r="38" spans="1:14" customHeight="1" ht="15.75">
      <c r="A38"/>
      <c r="B38" s="86">
        <v>3</v>
      </c>
      <c r="C38" s="86" t="s">
        <v>51</v>
      </c>
      <c r="D38" s="86"/>
      <c r="E38" s="86"/>
      <c r="F38" s="86">
        <f>'2'!E10</f>
        <v>300</v>
      </c>
      <c r="G38" s="88">
        <f>'2'!E8</f>
        <v>0.73</v>
      </c>
      <c r="H38" s="86"/>
      <c r="I38" s="90">
        <f>'2'!E46</f>
        <v>0.96931732947557</v>
      </c>
      <c r="J38" s="88">
        <f>'2'!E44</f>
        <v>290.79519884267</v>
      </c>
      <c r="K38" s="87">
        <f>'2'!E47</f>
        <v>3.5864741190596</v>
      </c>
      <c r="L38" s="91"/>
      <c r="M38"/>
    </row>
    <row r="39" spans="1:14" customHeight="1" ht="15.75">
      <c r="A39"/>
      <c r="B39" s="92">
        <v>4</v>
      </c>
      <c r="C39" s="92" t="s">
        <v>52</v>
      </c>
      <c r="D39" s="92"/>
      <c r="E39" s="92"/>
      <c r="F39" s="92">
        <f>'2'!F10</f>
        <v>2000</v>
      </c>
      <c r="G39" s="93">
        <f>'2'!F8</f>
        <v>0.078</v>
      </c>
      <c r="H39" s="94"/>
      <c r="I39" s="93">
        <f>'2'!F46</f>
        <v>0.10357089273849</v>
      </c>
      <c r="J39" s="93">
        <f>'2'!F44</f>
        <v>207.14178547697</v>
      </c>
      <c r="K39" s="95">
        <f>'2'!F47</f>
        <v>0.3832123031324</v>
      </c>
      <c r="L39" s="96"/>
      <c r="M39"/>
    </row>
    <row r="40" spans="1:14" customHeight="1" ht="15.75">
      <c r="A40"/>
      <c r="B40" s="92">
        <v>5</v>
      </c>
      <c r="C40" s="92" t="s">
        <v>53</v>
      </c>
      <c r="D40" s="92"/>
      <c r="E40" s="92"/>
      <c r="F40" s="92">
        <f>'2'!G10</f>
        <v>100</v>
      </c>
      <c r="G40" s="93">
        <f>'2'!G8</f>
        <v>1.3</v>
      </c>
      <c r="H40" s="94"/>
      <c r="I40" s="93">
        <f>'2'!G46</f>
        <v>1.7261815456414</v>
      </c>
      <c r="J40" s="93">
        <f>'2'!G44</f>
        <v>172.61815456414</v>
      </c>
      <c r="K40" s="95">
        <f>'2'!G47</f>
        <v>6.3868717188733</v>
      </c>
      <c r="L40" s="96"/>
      <c r="M40"/>
    </row>
    <row r="41" spans="1:14" customHeight="1" ht="15.75">
      <c r="A41"/>
      <c r="B41" s="92">
        <v>6</v>
      </c>
      <c r="C41" s="92" t="s">
        <v>54</v>
      </c>
      <c r="D41" s="92"/>
      <c r="E41" s="92"/>
      <c r="F41" s="92">
        <f>'2'!H10</f>
        <v>600</v>
      </c>
      <c r="G41" s="93">
        <f>'2'!H8</f>
        <v>2.865</v>
      </c>
      <c r="H41" s="94"/>
      <c r="I41" s="93">
        <f>'2'!H46</f>
        <v>3.8042385602021</v>
      </c>
      <c r="J41" s="93">
        <f>'2'!H44</f>
        <v>2282.5431361212</v>
      </c>
      <c r="K41" s="95">
        <f>'2'!H47</f>
        <v>14.075682672748</v>
      </c>
      <c r="L41" s="96"/>
      <c r="M41"/>
    </row>
    <row r="42" spans="1:14" customHeight="1" ht="15.75">
      <c r="A42"/>
      <c r="B42" s="92">
        <v>7</v>
      </c>
      <c r="C42" s="92" t="s">
        <v>91</v>
      </c>
      <c r="D42" s="92"/>
      <c r="E42" s="92"/>
      <c r="F42" s="92">
        <f>'2'!I10</f>
        <v>225</v>
      </c>
      <c r="G42" s="93">
        <f>'2'!I8</f>
        <v>1.6833333333333</v>
      </c>
      <c r="H42" s="94"/>
      <c r="I42" s="93">
        <f>'2'!I46</f>
        <v>2.2351837962792</v>
      </c>
      <c r="J42" s="93">
        <f>'2'!I44</f>
        <v>502.91635416283</v>
      </c>
      <c r="K42" s="95">
        <f>'2'!I47</f>
        <v>8.2701800462332</v>
      </c>
      <c r="L42" s="96"/>
      <c r="M42"/>
    </row>
    <row r="43" spans="1:14">
      <c r="A43" s="1"/>
      <c r="B43" s="97" t="s">
        <v>36</v>
      </c>
      <c r="C43" s="5"/>
      <c r="D43" s="5"/>
      <c r="E43" s="5"/>
      <c r="F43" s="97">
        <f>SUM(F36:F42)</f>
        <v>3925</v>
      </c>
      <c r="G43" s="5"/>
      <c r="H43" s="5"/>
      <c r="I43" s="5"/>
      <c r="J43" s="98">
        <f>SUM(J36:J42)</f>
        <v>7589.555515</v>
      </c>
      <c r="K43" s="29"/>
      <c r="L43" s="30"/>
      <c r="M43" s="1"/>
    </row>
    <row r="44" spans="1:14" customHeight="1" ht="18.75">
      <c r="B44" s="99" t="s">
        <v>90</v>
      </c>
      <c r="C44" s="5"/>
      <c r="D44" s="5"/>
      <c r="E44" s="5"/>
      <c r="F44" s="5"/>
      <c r="G44" s="5"/>
      <c r="H44" s="5"/>
      <c r="I44" s="5"/>
      <c r="J44" s="5"/>
      <c r="K44" s="5"/>
      <c r="L44"/>
      <c r="M44"/>
    </row>
    <row r="45" spans="1:14" customHeight="1" ht="18.75">
      <c r="B45" s="40" t="s">
        <v>89</v>
      </c>
      <c r="C45" s="40"/>
      <c r="D45" s="40"/>
      <c r="E45" s="40"/>
      <c r="F45" s="40"/>
      <c r="G45" s="40"/>
      <c r="H45" s="40"/>
      <c r="I45" s="40"/>
      <c r="J45" s="40"/>
      <c r="K45" s="40"/>
      <c r="L45" s="40"/>
      <c r="M45"/>
    </row>
    <row r="46" spans="1:14" customHeight="1" ht="18.75">
      <c r="B46" s="40" t="s">
        <v>88</v>
      </c>
      <c r="C46" s="40"/>
      <c r="D46" s="40"/>
      <c r="E46" s="40"/>
      <c r="F46" s="40"/>
      <c r="G46" s="40"/>
      <c r="H46" s="40"/>
      <c r="I46" s="40"/>
      <c r="J46" s="40"/>
      <c r="K46" s="40"/>
      <c r="L46" s="40"/>
      <c r="M46"/>
    </row>
    <row r="47" spans="1:14" customHeight="1" ht="18.75">
      <c r="B47" s="40" t="s">
        <v>87</v>
      </c>
      <c r="C47" s="40"/>
      <c r="D47" s="40"/>
      <c r="E47" s="40"/>
      <c r="F47" s="40"/>
      <c r="G47" s="40"/>
      <c r="H47" s="40"/>
      <c r="I47" s="40"/>
      <c r="J47" s="40"/>
      <c r="K47" s="40"/>
      <c r="L47" s="40"/>
      <c r="M47"/>
    </row>
    <row r="48" spans="1:14" customHeight="1" ht="18.75">
      <c r="B48" s="40" t="s">
        <v>86</v>
      </c>
      <c r="C48" s="40"/>
      <c r="D48" s="40"/>
      <c r="E48" s="40"/>
      <c r="F48" s="40"/>
      <c r="G48" s="40"/>
      <c r="H48" s="40"/>
      <c r="I48" s="40"/>
      <c r="J48" s="40"/>
      <c r="K48" s="40"/>
      <c r="L48" s="40"/>
      <c r="M48"/>
    </row>
    <row r="49" spans="1:14" customHeight="1" ht="18.75">
      <c r="B49" s="40" t="s">
        <v>85</v>
      </c>
      <c r="C49" s="40"/>
      <c r="D49" s="40"/>
      <c r="E49" s="40"/>
      <c r="F49" s="40"/>
      <c r="G49" s="40"/>
      <c r="H49" s="40"/>
      <c r="I49" s="40"/>
      <c r="J49" s="40"/>
      <c r="K49" s="40"/>
      <c r="L49" s="40"/>
      <c r="M49"/>
    </row>
    <row r="50" spans="1:14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1"/>
    </row>
    <row r="51" spans="1:14" customHeight="1" ht="9">
      <c r="B51" s="38"/>
      <c r="C51" s="38"/>
      <c r="E51" s="38"/>
      <c r="F51" s="38"/>
      <c r="G51" s="38"/>
      <c r="H51" s="38"/>
      <c r="I51" s="38"/>
      <c r="J51" s="38"/>
      <c r="K51" s="38"/>
      <c r="L51" s="38"/>
      <c r="M51" s="38"/>
    </row>
    <row r="52" spans="1:14" customHeight="1" ht="31.9">
      <c r="B52" s="38"/>
      <c r="C52" s="38"/>
      <c r="D52" s="52" t="s">
        <v>0</v>
      </c>
      <c r="E52" s="52"/>
      <c r="F52" s="52"/>
      <c r="G52" s="52"/>
      <c r="H52" s="52"/>
      <c r="I52" s="52"/>
      <c r="J52" s="52"/>
      <c r="K52" s="52"/>
      <c r="L52" s="52"/>
      <c r="M52" s="52"/>
    </row>
    <row r="53" spans="1:14" customHeight="1" ht="21">
      <c r="B53" s="38"/>
      <c r="C53" s="38"/>
      <c r="D53" s="55" t="s">
        <v>84</v>
      </c>
      <c r="E53" s="55"/>
      <c r="F53" s="55"/>
      <c r="G53" s="55"/>
      <c r="H53" s="55"/>
      <c r="I53" s="55"/>
      <c r="M53"/>
    </row>
    <row r="54" spans="1:14">
      <c r="B54" s="38"/>
      <c r="C54" s="38"/>
      <c r="M54" s="1"/>
    </row>
    <row r="55" spans="1:14">
      <c r="B55" s="38"/>
      <c r="C55" s="38"/>
      <c r="M55" s="1"/>
    </row>
    <row r="56" spans="1:14" customHeight="1" ht="21">
      <c r="B56" s="47" t="s">
        <v>83</v>
      </c>
      <c r="C56" s="47"/>
      <c r="D56" s="47"/>
      <c r="E56" s="47"/>
      <c r="F56" s="47"/>
      <c r="G56" s="47"/>
      <c r="H56" s="47"/>
      <c r="I56" s="47"/>
      <c r="J56" s="47"/>
      <c r="K56" s="47"/>
      <c r="L56" s="47"/>
      <c r="M56"/>
    </row>
    <row r="57" spans="1:14">
      <c r="M57" s="1"/>
    </row>
    <row r="58" spans="1:14">
      <c r="B58" s="37" t="s">
        <v>82</v>
      </c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1"/>
    </row>
    <row r="59" spans="1:14">
      <c r="B59" s="37" t="s">
        <v>81</v>
      </c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1"/>
    </row>
    <row r="60" spans="1:14">
      <c r="B60" s="39" t="s">
        <v>80</v>
      </c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1"/>
    </row>
    <row r="61" spans="1:14">
      <c r="B61" s="37" t="s">
        <v>79</v>
      </c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1"/>
    </row>
    <row r="62" spans="1:14">
      <c r="B62" s="37" t="s">
        <v>78</v>
      </c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1"/>
    </row>
    <row r="63" spans="1:14">
      <c r="B63" s="39" t="s">
        <v>77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1"/>
    </row>
    <row r="64" spans="1:14">
      <c r="B64" s="37" t="s">
        <v>76</v>
      </c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1"/>
    </row>
    <row r="65" spans="1:14">
      <c r="B65" s="37" t="s">
        <v>75</v>
      </c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1"/>
    </row>
    <row r="66" spans="1:14">
      <c r="B66" s="37" t="s">
        <v>74</v>
      </c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1"/>
    </row>
    <row r="67" spans="1:14">
      <c r="B67" s="37" t="s">
        <v>73</v>
      </c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1"/>
    </row>
    <row r="68" spans="1:14">
      <c r="B68" s="37" t="s">
        <v>72</v>
      </c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1"/>
    </row>
    <row r="69" spans="1:14">
      <c r="B69" s="37" t="s">
        <v>71</v>
      </c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1"/>
    </row>
    <row r="70" spans="1:14">
      <c r="B70" s="37" t="s">
        <v>70</v>
      </c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1"/>
    </row>
    <row r="71" spans="1:14">
      <c r="B71" s="37" t="s">
        <v>69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1"/>
    </row>
    <row r="72" spans="1:14">
      <c r="B72" s="37" t="s">
        <v>68</v>
      </c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1"/>
    </row>
    <row r="73" spans="1:14">
      <c r="B73" s="37" t="s">
        <v>67</v>
      </c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1"/>
    </row>
    <row r="74" spans="1:14">
      <c r="B74" s="37" t="s">
        <v>66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1"/>
    </row>
    <row r="75" spans="1:14">
      <c r="B75" s="36" t="s">
        <v>65</v>
      </c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1"/>
    </row>
    <row r="76" spans="1:14">
      <c r="B76" s="37" t="s">
        <v>64</v>
      </c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1"/>
    </row>
    <row r="77" spans="1:14">
      <c r="B77" s="36" t="s">
        <v>63</v>
      </c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1"/>
    </row>
    <row r="78" spans="1:14">
      <c r="B78" s="37" t="s">
        <v>62</v>
      </c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1"/>
    </row>
    <row r="79" spans="1:14">
      <c r="B79" s="37" t="s">
        <v>61</v>
      </c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1"/>
    </row>
    <row r="80" spans="1:14">
      <c r="B80" s="37" t="s">
        <v>60</v>
      </c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1"/>
    </row>
    <row r="81" spans="1:14">
      <c r="B81" s="37" t="s">
        <v>59</v>
      </c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1"/>
    </row>
    <row r="82" spans="1:14">
      <c r="B82" s="37" t="s">
        <v>58</v>
      </c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1"/>
    </row>
    <row r="83" spans="1:14">
      <c r="A83" s="31"/>
      <c r="B83" s="45" t="s">
        <v>57</v>
      </c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1"/>
    </row>
    <row r="84" spans="1:14">
      <c r="A84" s="31"/>
      <c r="B84" s="37" t="s">
        <v>56</v>
      </c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1"/>
    </row>
    <row r="85" spans="1:14">
      <c r="A85" s="31"/>
      <c r="B85" s="45" t="s">
        <v>55</v>
      </c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1"/>
    </row>
    <row r="86" spans="1:14">
      <c r="M86" s="1"/>
    </row>
    <row r="87" spans="1:14">
      <c r="C87" s="38"/>
      <c r="D87" s="38"/>
      <c r="E87" s="38"/>
      <c r="F87" s="38"/>
      <c r="G87" s="38"/>
      <c r="H87" s="38"/>
      <c r="I87" s="38"/>
      <c r="M87" s="1"/>
    </row>
    <row r="88" spans="1:14">
      <c r="C88" s="38"/>
      <c r="D88" s="38"/>
      <c r="E88" s="38"/>
      <c r="F88" s="38"/>
      <c r="G88" s="38"/>
      <c r="H88" s="38"/>
      <c r="I88" s="38"/>
      <c r="M88" s="1"/>
    </row>
    <row r="89" spans="1:14">
      <c r="C89" s="38"/>
      <c r="D89" s="38"/>
      <c r="E89" s="38"/>
      <c r="F89" s="38"/>
      <c r="G89" s="38"/>
      <c r="H89" s="38"/>
      <c r="I89" s="38"/>
      <c r="M89" s="1"/>
    </row>
    <row r="90" spans="1:14">
      <c r="C90" s="38"/>
      <c r="D90" s="38"/>
      <c r="E90" s="38"/>
      <c r="F90" s="38"/>
      <c r="G90" s="38"/>
      <c r="H90" s="38"/>
      <c r="I90" s="38"/>
      <c r="M90" s="1"/>
    </row>
    <row r="91" spans="1:14">
      <c r="C91" s="38"/>
      <c r="D91" s="38"/>
      <c r="E91" s="38"/>
      <c r="F91" s="38"/>
      <c r="G91" s="38"/>
      <c r="H91" s="38"/>
      <c r="I91" s="38"/>
      <c r="M91" s="1"/>
    </row>
    <row r="92" spans="1:14">
      <c r="C92" s="38"/>
      <c r="D92" s="38"/>
      <c r="E92" s="38"/>
      <c r="F92" s="38"/>
      <c r="G92" s="38"/>
      <c r="H92" s="38"/>
      <c r="I92" s="38"/>
      <c r="M92" s="1"/>
    </row>
    <row r="93" spans="1:14">
      <c r="C93" s="38"/>
      <c r="D93" s="38"/>
      <c r="E93" s="38"/>
      <c r="F93" s="38"/>
      <c r="G93" s="38"/>
      <c r="H93" s="38"/>
      <c r="I93" s="38"/>
      <c r="M93" s="1"/>
    </row>
    <row r="94" spans="1:14" customHeight="1" ht="15.6">
      <c r="C94" s="38"/>
      <c r="D94" s="38"/>
      <c r="E94" s="38"/>
      <c r="F94" s="38"/>
      <c r="G94" s="38"/>
      <c r="H94" s="38"/>
      <c r="I94" s="38"/>
      <c r="M94"/>
    </row>
    <row r="95" spans="1:14" customHeight="1" ht="15.6">
      <c r="C95" s="38"/>
      <c r="D95" s="38"/>
      <c r="E95" s="38"/>
      <c r="F95" s="38"/>
      <c r="G95" s="38"/>
      <c r="H95" s="38"/>
      <c r="I95" s="38"/>
      <c r="M95"/>
    </row>
    <row r="96" spans="1:14">
      <c r="C96" s="38"/>
      <c r="D96" s="38"/>
      <c r="E96" s="38"/>
      <c r="F96" s="38"/>
      <c r="G96" s="38"/>
      <c r="H96" s="38"/>
      <c r="I96" s="38"/>
      <c r="M96" s="1"/>
    </row>
    <row r="97" spans="1:14">
      <c r="M97" s="1"/>
    </row>
    <row r="98" spans="1:14">
      <c r="M98" s="1"/>
    </row>
    <row r="99" spans="1:14">
      <c r="M99" s="1"/>
    </row>
    <row r="100" spans="1:14">
      <c r="M100" s="1"/>
    </row>
    <row r="101" spans="1:14">
      <c r="M101" s="1"/>
    </row>
    <row r="102" spans="1:14" customHeight="1" ht="15.6">
      <c r="M102"/>
    </row>
  </sheetData>
  <sheetProtection selectLockedCells="1"/>
  <mergeCells>
    <mergeCell ref="B33:L33"/>
    <mergeCell ref="B32:J32"/>
    <mergeCell ref="B28:J28"/>
    <mergeCell ref="B29:J29"/>
    <mergeCell ref="B30:J30"/>
    <mergeCell ref="J9:L9"/>
    <mergeCell ref="B2:C6"/>
    <mergeCell ref="E7:G7"/>
    <mergeCell ref="F9:G9"/>
    <mergeCell ref="F10:G10"/>
    <mergeCell ref="F8:G8"/>
    <mergeCell ref="C87:I96"/>
    <mergeCell ref="A1:L1"/>
    <mergeCell ref="E2:L2"/>
    <mergeCell ref="D53:I53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8:L48"/>
    <mergeCell ref="B46:L46"/>
    <mergeCell ref="F11:G11"/>
    <mergeCell ref="B31:J31"/>
    <mergeCell ref="B26:I26"/>
    <mergeCell ref="B12:L12"/>
    <mergeCell ref="B13:J13"/>
    <mergeCell ref="B14:J14"/>
    <mergeCell ref="B16:J16"/>
    <mergeCell ref="B15:J15"/>
    <mergeCell ref="B25:I25"/>
    <mergeCell ref="B24:I24"/>
    <mergeCell ref="B27:I27"/>
    <mergeCell ref="B23:I23"/>
    <mergeCell ref="B20:I20"/>
    <mergeCell ref="B21:I21"/>
    <mergeCell ref="B22:I22"/>
    <mergeCell ref="C35:E35"/>
    <mergeCell ref="B56:L56"/>
    <mergeCell ref="B47:L47"/>
    <mergeCell ref="D52:J52"/>
    <mergeCell ref="K52:M52"/>
    <mergeCell ref="E51:M51"/>
    <mergeCell ref="K35:L35"/>
    <mergeCell ref="B82:L82"/>
    <mergeCell ref="B77:L77"/>
    <mergeCell ref="B78:L78"/>
    <mergeCell ref="B79:L79"/>
    <mergeCell ref="B80:L80"/>
    <mergeCell ref="B81:L81"/>
    <mergeCell ref="B85:L85"/>
    <mergeCell ref="B68:L68"/>
    <mergeCell ref="B69:L69"/>
    <mergeCell ref="B70:L70"/>
    <mergeCell ref="B61:L61"/>
    <mergeCell ref="B62:L62"/>
    <mergeCell ref="B63:L63"/>
    <mergeCell ref="B64:L64"/>
    <mergeCell ref="B65:L65"/>
    <mergeCell ref="B66:L66"/>
    <mergeCell ref="B67:L67"/>
    <mergeCell ref="B72:L72"/>
    <mergeCell ref="B73:L73"/>
    <mergeCell ref="B74:L74"/>
    <mergeCell ref="B84:L84"/>
    <mergeCell ref="B83:L83"/>
    <mergeCell ref="B75:L75"/>
    <mergeCell ref="B76:L76"/>
    <mergeCell ref="A7:C7"/>
    <mergeCell ref="I7:L7"/>
    <mergeCell ref="B60:L60"/>
    <mergeCell ref="B49:L49"/>
    <mergeCell ref="B45:L45"/>
    <mergeCell ref="B58:L58"/>
    <mergeCell ref="B71:L71"/>
    <mergeCell ref="B59:L59"/>
    <mergeCell ref="J11:L11"/>
    <mergeCell ref="B51:C55"/>
    <mergeCell ref="B19:F19"/>
    <mergeCell ref="C37:E37"/>
    <mergeCell ref="G37:H37"/>
    <mergeCell ref="K37:L37"/>
    <mergeCell ref="C38:E38"/>
    <mergeCell ref="G38:H38"/>
    <mergeCell ref="K38:L38"/>
    <mergeCell ref="C39:E39"/>
    <mergeCell ref="G39:H39"/>
    <mergeCell ref="K39:L39"/>
    <mergeCell ref="C40:E40"/>
    <mergeCell ref="G40:H40"/>
    <mergeCell ref="K40:L40"/>
    <mergeCell ref="C41:E41"/>
    <mergeCell ref="G41:H41"/>
    <mergeCell ref="K41:L41"/>
    <mergeCell ref="C42:E42"/>
    <mergeCell ref="G42:H42"/>
    <mergeCell ref="K42:L42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50" man="1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0" workbookViewId="0" showGridLines="true" showRowColHeaders="1">
      <selection activeCell="J44" sqref="J44"/>
    </sheetView>
  </sheetViews>
  <sheetFormatPr defaultRowHeight="14.4" outlineLevelRow="0" outlineLevelCol="0"/>
  <cols>
    <col min="2" max="2" width="24.708" bestFit="true" customWidth="true" style="0"/>
    <col min="3" max="3" width="31.707" bestFit="true" customWidth="true" style="0"/>
    <col min="4" max="4" width="35.277" bestFit="true" customWidth="true" style="0"/>
    <col min="5" max="5" width="34.135" bestFit="true" customWidth="true" style="0"/>
    <col min="6" max="6" width="32.992" bestFit="true" customWidth="true" style="0"/>
    <col min="7" max="7" width="32.992" bestFit="true" customWidth="true" style="0"/>
    <col min="8" max="8" width="25.851" bestFit="true" customWidth="true" style="0"/>
    <col min="9" max="9" width="34.135" bestFit="true" customWidth="true" style="0"/>
    <col min="10" max="10" width="9.283" bestFit="true" customWidth="true" style="0"/>
  </cols>
  <sheetData>
    <row r="3" spans="1:14">
      <c r="B3" s="73" t="s">
        <v>93</v>
      </c>
      <c r="C3"/>
      <c r="D3"/>
      <c r="E3"/>
      <c r="F3"/>
      <c r="G3"/>
    </row>
    <row r="5" spans="1:14">
      <c r="B5" s="75" t="s">
        <v>94</v>
      </c>
      <c r="C5" s="74" t="s">
        <v>49</v>
      </c>
      <c r="D5" s="74" t="s">
        <v>50</v>
      </c>
      <c r="E5" s="74" t="s">
        <v>51</v>
      </c>
      <c r="F5" s="74" t="s">
        <v>52</v>
      </c>
      <c r="G5" s="74" t="s">
        <v>53</v>
      </c>
      <c r="H5" s="74" t="s">
        <v>54</v>
      </c>
      <c r="I5" s="74" t="s">
        <v>91</v>
      </c>
      <c r="J5" s="74" t="s">
        <v>111</v>
      </c>
    </row>
    <row r="6" spans="1:14">
      <c r="B6" t="s">
        <v>95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s="80">
        <v>2.61</v>
      </c>
      <c r="M6" s="78" t="s">
        <v>109</v>
      </c>
      <c r="N6" s="78" t="s">
        <v>110</v>
      </c>
    </row>
    <row r="7" spans="1:14">
      <c r="B7" t="s">
        <v>96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s="81">
        <v>1.48</v>
      </c>
      <c r="M7" s="79" t="s">
        <v>19</v>
      </c>
      <c r="N7" s="79">
        <v>350</v>
      </c>
    </row>
    <row r="8" spans="1:14">
      <c r="B8" t="s">
        <v>97</v>
      </c>
      <c r="C8" s="77">
        <v>13.74</v>
      </c>
      <c r="D8" s="77">
        <v>0.73</v>
      </c>
      <c r="E8" s="77">
        <v>0.73</v>
      </c>
      <c r="F8" s="77">
        <v>0.078</v>
      </c>
      <c r="G8" s="77">
        <v>1.3</v>
      </c>
      <c r="H8" s="77">
        <v>2.865</v>
      </c>
      <c r="I8" s="77">
        <v>1.6833333333333</v>
      </c>
      <c r="J8"/>
    </row>
    <row r="9" spans="1:14">
      <c r="B9" s="76" t="s">
        <v>98</v>
      </c>
      <c r="C9" s="77">
        <v>0.0</v>
      </c>
      <c r="D9" s="77">
        <v>0.0</v>
      </c>
      <c r="E9" s="77">
        <v>0.0</v>
      </c>
      <c r="F9" s="77">
        <v>0.0</v>
      </c>
      <c r="G9" s="77">
        <v>0.0</v>
      </c>
      <c r="H9" s="77">
        <v>0.0</v>
      </c>
      <c r="I9" s="77">
        <v>0.0</v>
      </c>
      <c r="J9"/>
    </row>
    <row r="10" spans="1:14">
      <c r="B10" t="s">
        <v>99</v>
      </c>
      <c r="C10">
        <v>200.0</v>
      </c>
      <c r="D10">
        <v>500.0</v>
      </c>
      <c r="E10">
        <v>300.0</v>
      </c>
      <c r="F10">
        <v>2000.0</v>
      </c>
      <c r="G10">
        <v>100.0</v>
      </c>
      <c r="H10">
        <v>600.0</v>
      </c>
      <c r="I10">
        <v>225.0</v>
      </c>
      <c r="J10">
        <f>SUM(C10:I10)</f>
        <v>3925</v>
      </c>
    </row>
    <row r="11" spans="1:14">
      <c r="B11" t="s">
        <v>100</v>
      </c>
      <c r="C11" s="77">
        <f>C8*C10</f>
        <v>2748</v>
      </c>
      <c r="D11" s="77">
        <f>D8*D10</f>
        <v>365</v>
      </c>
      <c r="E11" s="77">
        <f>E8*E10</f>
        <v>219</v>
      </c>
      <c r="F11" s="77">
        <f>F8*F10</f>
        <v>156</v>
      </c>
      <c r="G11" s="77">
        <f>G8*G10</f>
        <v>130</v>
      </c>
      <c r="H11" s="77">
        <f>H8*H10</f>
        <v>1719</v>
      </c>
      <c r="I11" s="77">
        <f>I8*I10</f>
        <v>378.74999999999</v>
      </c>
      <c r="J11" s="85">
        <f>SUM(C11:I11)</f>
        <v>5715.75</v>
      </c>
    </row>
    <row r="12" spans="1:14">
      <c r="B12" s="76" t="s">
        <v>101</v>
      </c>
      <c r="C12" s="77">
        <f>C10*C9</f>
        <v>0</v>
      </c>
      <c r="D12" s="77">
        <f>D10*D9</f>
        <v>0</v>
      </c>
      <c r="E12" s="77">
        <f>E10*E9</f>
        <v>0</v>
      </c>
      <c r="F12" s="77">
        <f>F10*F9</f>
        <v>0</v>
      </c>
      <c r="G12" s="77">
        <f>G10*G9</f>
        <v>0</v>
      </c>
      <c r="H12" s="77">
        <f>H10*H9</f>
        <v>0</v>
      </c>
      <c r="I12" s="77">
        <f>I10*I9</f>
        <v>0</v>
      </c>
      <c r="J12" s="85">
        <f>SUM(C12:I12)</f>
        <v>0</v>
      </c>
    </row>
    <row r="13" spans="1:14">
      <c r="B13" t="s">
        <v>102</v>
      </c>
      <c r="C13" s="82">
        <f>C11/J11</f>
        <v>0.48077680094476</v>
      </c>
      <c r="D13" s="82">
        <f>D11/J11</f>
        <v>0.063858636224468</v>
      </c>
      <c r="E13" s="82">
        <f>E11/J11</f>
        <v>0.038315181734681</v>
      </c>
      <c r="F13" s="82">
        <f>F11/J11</f>
        <v>0.02729300616717</v>
      </c>
      <c r="G13" s="82">
        <f>G11/J11</f>
        <v>0.022744171805975</v>
      </c>
      <c r="H13" s="82">
        <f>H11/J11</f>
        <v>0.30074793334208</v>
      </c>
      <c r="I13" s="82">
        <f>I11/J11</f>
        <v>0.066264269780867</v>
      </c>
      <c r="J13"/>
    </row>
    <row r="14" spans="1:14">
      <c r="B14" t="s">
        <v>103</v>
      </c>
      <c r="C14" s="77">
        <f>J14*C13</f>
        <v>149.42542973363</v>
      </c>
      <c r="D14" s="77">
        <f>J14*D13</f>
        <v>19.847264138565</v>
      </c>
      <c r="E14" s="77">
        <f>J14*E13</f>
        <v>11.908358483139</v>
      </c>
      <c r="F14" s="77">
        <f>J14*F13</f>
        <v>8.4826663167563</v>
      </c>
      <c r="G14" s="77">
        <f>J14*G13</f>
        <v>7.068888597297</v>
      </c>
      <c r="H14" s="77">
        <f>J14*H13</f>
        <v>93.472457682719</v>
      </c>
      <c r="I14" s="77">
        <f>J14*I13</f>
        <v>20.594935047894</v>
      </c>
      <c r="J14" s="85">
        <f>IF(J7&lt;1, N7*0.6, N7*0.6*J7)</f>
        <v>310.8</v>
      </c>
    </row>
    <row r="15" spans="1:14">
      <c r="B15" t="s">
        <v>104</v>
      </c>
      <c r="C15" s="77">
        <f>C11+C14</f>
        <v>2897.4254297336</v>
      </c>
      <c r="D15" s="77">
        <f>D11+D14</f>
        <v>384.84726413856</v>
      </c>
      <c r="E15" s="77">
        <f>E11+E14</f>
        <v>230.90835848314</v>
      </c>
      <c r="F15" s="77">
        <f>F11+F14</f>
        <v>164.48266631676</v>
      </c>
      <c r="G15" s="77">
        <f>G11+G14</f>
        <v>137.0688885973</v>
      </c>
      <c r="H15" s="77">
        <f>H11+H14</f>
        <v>1812.4724576827</v>
      </c>
      <c r="I15" s="77">
        <f>I11+I14</f>
        <v>399.34493504789</v>
      </c>
      <c r="J15" s="85">
        <f>SUM(C15:I15)</f>
        <v>6026.55</v>
      </c>
    </row>
    <row r="16" spans="1:14">
      <c r="B16" s="76" t="s">
        <v>105</v>
      </c>
      <c r="C16" s="77">
        <f>C12+C14</f>
        <v>149.42542973363</v>
      </c>
      <c r="D16" s="77">
        <f>D12+D14</f>
        <v>19.847264138565</v>
      </c>
      <c r="E16" s="77">
        <f>E12+E14</f>
        <v>11.908358483139</v>
      </c>
      <c r="F16" s="77">
        <f>F12+F14</f>
        <v>8.4826663167563</v>
      </c>
      <c r="G16" s="77">
        <f>G12+G14</f>
        <v>7.068888597297</v>
      </c>
      <c r="H16" s="77">
        <f>H12+H14</f>
        <v>93.472457682719</v>
      </c>
      <c r="I16" s="77">
        <f>I12+I14</f>
        <v>20.594935047894</v>
      </c>
      <c r="J16" s="85">
        <f>SUM(C16:I16)</f>
        <v>310.8</v>
      </c>
    </row>
    <row r="17" spans="1:14">
      <c r="B17" t="s">
        <v>106</v>
      </c>
      <c r="C17" s="77">
        <f>IF(J11&gt;5000,100*C13,50*C13)</f>
        <v>48.077680094476</v>
      </c>
      <c r="D17" s="77">
        <f>IF(J11&gt;5000,100*D13,50*D13)</f>
        <v>6.3858636224468</v>
      </c>
      <c r="E17" s="77">
        <f>IF(J11&gt;5000,100*E13,50*E13)</f>
        <v>3.8315181734681</v>
      </c>
      <c r="F17" s="77">
        <f>IF(J11&gt;5000,100*F13,50*F13)</f>
        <v>2.729300616717</v>
      </c>
      <c r="G17" s="77">
        <f>IF(J11&gt;5000,100*G13,50*G13)</f>
        <v>2.2744171805975</v>
      </c>
      <c r="H17" s="77">
        <f>IF(J11&gt;5000,100*H13,50*H13)</f>
        <v>30.074793334208</v>
      </c>
      <c r="I17" s="77">
        <f>IF(J11&gt;5000,100*I13,50*I13)</f>
        <v>6.6264269780867</v>
      </c>
      <c r="J17" s="85">
        <f>SUM(C17:I17)</f>
        <v>100</v>
      </c>
    </row>
    <row r="18" spans="1:14">
      <c r="B18" t="s">
        <v>107</v>
      </c>
      <c r="C18" s="77">
        <f>C15+C17</f>
        <v>2945.5031098281</v>
      </c>
      <c r="D18" s="77">
        <f>D15+D17</f>
        <v>391.23312776101</v>
      </c>
      <c r="E18" s="77">
        <f>E15+E17</f>
        <v>234.73987665661</v>
      </c>
      <c r="F18" s="77">
        <f>F15+F17</f>
        <v>167.21196693347</v>
      </c>
      <c r="G18" s="77">
        <f>G15+G17</f>
        <v>139.34330577789</v>
      </c>
      <c r="H18" s="77">
        <f>H15+H17</f>
        <v>1842.5472510169</v>
      </c>
      <c r="I18" s="77">
        <f>I15+I17</f>
        <v>405.97136202597</v>
      </c>
      <c r="J18" s="85">
        <f>SUM(C18:I18)</f>
        <v>6126.55</v>
      </c>
    </row>
    <row r="19" spans="1:14">
      <c r="B19" s="76" t="s">
        <v>108</v>
      </c>
      <c r="C19" s="77">
        <f>C16+C17</f>
        <v>197.50310982811</v>
      </c>
      <c r="D19" s="77">
        <f>D16+D17</f>
        <v>26.233127761011</v>
      </c>
      <c r="E19" s="77">
        <f>E16+E17</f>
        <v>15.739876656607</v>
      </c>
      <c r="F19" s="77">
        <f>F16+F17</f>
        <v>11.211966933473</v>
      </c>
      <c r="G19" s="77">
        <f>G16+G17</f>
        <v>9.3433057778944</v>
      </c>
      <c r="H19" s="77">
        <f>H16+H17</f>
        <v>123.54725101693</v>
      </c>
      <c r="I19" s="77">
        <f>I16+I17</f>
        <v>27.22136202598</v>
      </c>
      <c r="J19" s="85">
        <f>SUM(C19:I19)</f>
        <v>410.8</v>
      </c>
    </row>
    <row r="23" spans="1:14">
      <c r="B23" s="73" t="s">
        <v>118</v>
      </c>
      <c r="C23"/>
      <c r="D23"/>
      <c r="E23"/>
    </row>
    <row r="26" spans="1:14">
      <c r="B26" t="s">
        <v>119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f>SUM(C26:I26)</f>
        <v>0</v>
      </c>
    </row>
    <row r="27" spans="1:14">
      <c r="C27" s="83">
        <v>0.0</v>
      </c>
      <c r="D27" s="83">
        <v>0.0</v>
      </c>
      <c r="E27" s="83">
        <v>0.0</v>
      </c>
      <c r="F27" s="83">
        <v>0.0</v>
      </c>
      <c r="G27" s="83">
        <v>0.0</v>
      </c>
      <c r="H27" s="83">
        <v>0.0</v>
      </c>
      <c r="I27" s="83">
        <v>0.0</v>
      </c>
      <c r="J27" s="82">
        <f>SUM(C27:I27)</f>
        <v>0</v>
      </c>
    </row>
    <row r="28" spans="1:14">
      <c r="B28" t="s">
        <v>112</v>
      </c>
      <c r="C28" s="77">
        <f>MAX(C19,C18)*C27</f>
        <v>0</v>
      </c>
      <c r="D28" s="77">
        <f>MAX(D19,D18)*D27</f>
        <v>0</v>
      </c>
      <c r="E28" s="77">
        <f>MAX(E19,E18)*E27</f>
        <v>0</v>
      </c>
      <c r="F28" s="77">
        <f>MAX(F19,F18)*F27</f>
        <v>0</v>
      </c>
      <c r="G28" s="77">
        <f>MAX(G19,G18)*G27</f>
        <v>0</v>
      </c>
      <c r="H28" s="77">
        <f>MAX(H19,H18)*H27</f>
        <v>0</v>
      </c>
      <c r="I28" s="77">
        <f>MAX(I19,I18)*I27</f>
        <v>0</v>
      </c>
      <c r="J28" s="77">
        <f>SUM(C28:I28)</f>
        <v>0</v>
      </c>
    </row>
    <row r="29" spans="1:14">
      <c r="B29" t="s">
        <v>31</v>
      </c>
      <c r="C29" s="77">
        <f>0.16*(MAX(C19,C18)+C28)</f>
        <v>471.2804975725</v>
      </c>
      <c r="D29" s="77">
        <f>0.16*(MAX(D19,D18)+D28)</f>
        <v>62.597300441762</v>
      </c>
      <c r="E29" s="77">
        <f>0.16*(MAX(E19,E18)+E28)</f>
        <v>37.558380265057</v>
      </c>
      <c r="F29" s="77">
        <f>0.16*(MAX(F19,F18)+F28)</f>
        <v>26.753914709356</v>
      </c>
      <c r="G29" s="77">
        <f>0.16*(MAX(G19,G18)+G28)</f>
        <v>22.294928924463</v>
      </c>
      <c r="H29" s="77">
        <f>0.16*(MAX(H19,H18)+H28)</f>
        <v>294.80756016271</v>
      </c>
      <c r="I29" s="77">
        <f>0.16*(MAX(I19,I18)+I28)</f>
        <v>64.955417924156</v>
      </c>
      <c r="J29" s="77">
        <f>SUM(C29:I29)</f>
        <v>980.248</v>
      </c>
    </row>
    <row r="30" spans="1:14">
      <c r="B30" t="s">
        <v>32</v>
      </c>
      <c r="C30" s="77">
        <f>0.02*(MAX(C19,C18)+C28)</f>
        <v>58.910062196562</v>
      </c>
      <c r="D30" s="77">
        <f>0.02*(MAX(D19,D18)+D28)</f>
        <v>7.8246625552202</v>
      </c>
      <c r="E30" s="77">
        <f>0.02*(MAX(E19,E18)+E28)</f>
        <v>4.6947975331321</v>
      </c>
      <c r="F30" s="77">
        <f>0.02*(MAX(F19,F18)+F28)</f>
        <v>3.3442393386695</v>
      </c>
      <c r="G30" s="77">
        <f>0.02*(MAX(G19,G18)+G28)</f>
        <v>2.7868661155579</v>
      </c>
      <c r="H30" s="77">
        <f>0.02*(MAX(H19,H18)+H28)</f>
        <v>36.850945020339</v>
      </c>
      <c r="I30" s="77">
        <f>0.02*(MAX(I19,I18)+I28)</f>
        <v>8.1194272405195</v>
      </c>
      <c r="J30" s="77">
        <f>SUM(C30:I30)</f>
        <v>122.531</v>
      </c>
    </row>
    <row r="31" spans="1:14">
      <c r="B31" t="s">
        <v>113</v>
      </c>
      <c r="C31" s="77">
        <f>0.035*(MAX(C18,C19) +C28+C29+C30)</f>
        <v>121.6492784359</v>
      </c>
      <c r="D31" s="77">
        <f>0.035*(MAX(D18,D19) +D28+D29+D30)</f>
        <v>16.15792817653</v>
      </c>
      <c r="E31" s="77">
        <f>0.035*(MAX(E18,E19) +E28+E29+E30)</f>
        <v>9.6947569059179</v>
      </c>
      <c r="F31" s="77">
        <f>0.035*(MAX(F18,F19) +F28+F29+F30)</f>
        <v>6.9058542343524</v>
      </c>
      <c r="G31" s="77">
        <f>0.035*(MAX(G18,G19) +G28+G29+G30)</f>
        <v>5.754878528627</v>
      </c>
      <c r="H31" s="77">
        <f>0.035*(MAX(H18,H19) +H28+H29+H30)</f>
        <v>76.097201466999</v>
      </c>
      <c r="I31" s="77">
        <f>0.035*(MAX(I18,I19) +I28+I29+I30)</f>
        <v>16.766617251673</v>
      </c>
      <c r="J31" s="77">
        <f>SUM(C31:I31)</f>
        <v>253.026515</v>
      </c>
    </row>
    <row r="32" spans="1:14">
      <c r="B32" t="s">
        <v>36</v>
      </c>
      <c r="C32" s="77">
        <f>SUM(C28:C31)</f>
        <v>651.83983820496</v>
      </c>
      <c r="D32" s="77">
        <f>SUM(D28:D31)</f>
        <v>86.579891173512</v>
      </c>
      <c r="E32" s="77">
        <f>SUM(E28:E31)</f>
        <v>51.947934704107</v>
      </c>
      <c r="F32" s="77">
        <f>SUM(F28:F31)</f>
        <v>37.004008282378</v>
      </c>
      <c r="G32" s="77">
        <f>SUM(G28:G31)</f>
        <v>30.836673568648</v>
      </c>
      <c r="H32" s="77">
        <f>SUM(H28:H31)</f>
        <v>407.75570665005</v>
      </c>
      <c r="I32" s="77">
        <f>SUM(I28:I31)</f>
        <v>89.841462416348</v>
      </c>
      <c r="J32" s="77">
        <f>SUM(J28:J31)</f>
        <v>1355.805515</v>
      </c>
    </row>
    <row r="37" spans="1:14">
      <c r="B37" s="73" t="s">
        <v>120</v>
      </c>
      <c r="C37"/>
      <c r="D37"/>
      <c r="E37"/>
    </row>
    <row r="40" spans="1:14">
      <c r="B40" t="s">
        <v>114</v>
      </c>
      <c r="C40" s="77">
        <f>C13*J40</f>
        <v>99.616953155754</v>
      </c>
      <c r="D40" s="77">
        <f>D13*J40</f>
        <v>13.23150942571</v>
      </c>
      <c r="E40" s="77">
        <f>E13*J40</f>
        <v>7.9389056554258</v>
      </c>
      <c r="F40" s="77">
        <f>F13*J40</f>
        <v>5.6551108778376</v>
      </c>
      <c r="G40" s="77">
        <f>G13*J40</f>
        <v>4.712592398198</v>
      </c>
      <c r="H40" s="77">
        <f>H13*J40</f>
        <v>62.314971788479</v>
      </c>
      <c r="I40" s="77">
        <f>I13*J40</f>
        <v>13.729956698596</v>
      </c>
      <c r="J40" s="77">
        <f>IF(J7&lt;1, N7*0.4,N7*0.4*J7)</f>
        <v>207.2</v>
      </c>
    </row>
    <row r="41" spans="1:14">
      <c r="B41"/>
    </row>
    <row r="43" spans="1:14">
      <c r="B43" t="s">
        <v>114</v>
      </c>
      <c r="C43" t="s">
        <v>49</v>
      </c>
      <c r="D43" t="s">
        <v>50</v>
      </c>
      <c r="E43" t="s">
        <v>51</v>
      </c>
      <c r="F43" t="s">
        <v>52</v>
      </c>
      <c r="G43" t="s">
        <v>53</v>
      </c>
      <c r="H43" t="s">
        <v>54</v>
      </c>
      <c r="I43" t="s">
        <v>91</v>
      </c>
      <c r="J43" t="s">
        <v>111</v>
      </c>
    </row>
    <row r="44" spans="1:14">
      <c r="B44" t="s">
        <v>115</v>
      </c>
      <c r="C44" s="77">
        <f>SUM(C15,C40,C32,(C26))</f>
        <v>3648.8822210943</v>
      </c>
      <c r="D44" s="77">
        <f>SUM(D15,D40,D32,(D26))</f>
        <v>484.65866473779</v>
      </c>
      <c r="E44" s="77">
        <f>SUM(E15,E40,E32,(E26))</f>
        <v>290.79519884267</v>
      </c>
      <c r="F44" s="77">
        <f>SUM(F15,F40,F32,(F26))</f>
        <v>207.14178547697</v>
      </c>
      <c r="G44" s="77">
        <f>SUM(G15,G40,G32,(G26))</f>
        <v>172.61815456414</v>
      </c>
      <c r="H44" s="77">
        <f>SUM(H15,H40,H32,(H26))</f>
        <v>2282.5431361212</v>
      </c>
      <c r="I44" s="77">
        <f>SUM(I15,I40,I32,(I26))</f>
        <v>502.91635416283</v>
      </c>
      <c r="J44" s="77">
        <f>SUM(C44:I44)</f>
        <v>7589.555515</v>
      </c>
    </row>
    <row r="45" spans="1:14">
      <c r="B45" t="s">
        <v>45</v>
      </c>
      <c r="C45">
        <v>200.0</v>
      </c>
      <c r="D45">
        <v>500.0</v>
      </c>
      <c r="E45">
        <v>300.0</v>
      </c>
      <c r="F45">
        <v>2000.0</v>
      </c>
      <c r="G45">
        <v>100.0</v>
      </c>
      <c r="H45">
        <v>600.0</v>
      </c>
      <c r="I45">
        <v>225.0</v>
      </c>
      <c r="J45"/>
    </row>
    <row r="46" spans="1:14">
      <c r="B46" t="s">
        <v>116</v>
      </c>
      <c r="C46" s="77">
        <f>SUM(C44/C45)</f>
        <v>18.244411105472</v>
      </c>
      <c r="D46" s="77">
        <f>SUM(D44/D45)</f>
        <v>0.96931732947557</v>
      </c>
      <c r="E46" s="77">
        <f>SUM(E44/E45)</f>
        <v>0.96931732947557</v>
      </c>
      <c r="F46" s="77">
        <f>SUM(F44/F45)</f>
        <v>0.10357089273849</v>
      </c>
      <c r="G46" s="77">
        <f>SUM(G44/G45)</f>
        <v>1.7261815456414</v>
      </c>
      <c r="H46" s="77">
        <f>SUM(H44/H45)</f>
        <v>3.8042385602021</v>
      </c>
      <c r="I46" s="77">
        <f>SUM(I44/I45)</f>
        <v>2.2351837962792</v>
      </c>
      <c r="J46"/>
    </row>
    <row r="47" spans="1:14">
      <c r="B47" t="s">
        <v>117</v>
      </c>
      <c r="C47" s="84">
        <f>C46*3.7</f>
        <v>67.504321090245</v>
      </c>
      <c r="D47" s="84">
        <f>D46*3.7</f>
        <v>3.5864741190596</v>
      </c>
      <c r="E47" s="84">
        <f>E46*3.7</f>
        <v>3.5864741190596</v>
      </c>
      <c r="F47" s="84">
        <f>F46*3.7</f>
        <v>0.3832123031324</v>
      </c>
      <c r="G47" s="84">
        <f>G46*3.7</f>
        <v>6.3868717188733</v>
      </c>
      <c r="H47" s="84">
        <f>H46*3.7</f>
        <v>14.075682672748</v>
      </c>
      <c r="I47" s="84">
        <f>I46*3.7</f>
        <v>8.2701800462332</v>
      </c>
      <c r="J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u202412824 (Torres Cuya, Francis Cristofer)</cp:lastModifiedBy>
  <dcterms:created xsi:type="dcterms:W3CDTF">2022-02-19T20:43:21+00:00</dcterms:created>
  <dcterms:modified xsi:type="dcterms:W3CDTF">2025-10-13T22:32:48+00:00</dcterms:modified>
  <dc:title/>
  <dc:description/>
  <dc:subject/>
  <cp:keywords/>
  <cp:category/>
</cp:coreProperties>
</file>