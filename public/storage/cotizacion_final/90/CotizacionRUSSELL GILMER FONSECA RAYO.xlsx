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<sst xmlns="http://schemas.openxmlformats.org/spreadsheetml/2006/main" uniqueCount="121">
  <si>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</si>
  <si>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</si>
  <si>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</si>
  <si>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</si>
  <si>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RUSSELL GILMER FONSECA RAYO</t>
  </si>
  <si>
    <t>SERVICIO:</t>
  </si>
  <si>
    <t>CARGA CONSOLIDADA</t>
  </si>
  <si>
    <t>N° CAJAS:</t>
  </si>
  <si>
    <t>APELLIDO:</t>
  </si>
  <si>
    <t>FECHA:</t>
  </si>
  <si>
    <t>PESO:</t>
  </si>
  <si>
    <t>215.3 Kg</t>
  </si>
  <si>
    <t>DNI/RUC:</t>
  </si>
  <si>
    <t>ORIGEN:</t>
  </si>
  <si>
    <t>CHINA</t>
  </si>
  <si>
    <t>MEDIDA:</t>
  </si>
  <si>
    <t>TELEFONO:</t>
  </si>
  <si>
    <t>51 954 198 550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</si>
  <si>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</si>
  <si>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</si>
  <si>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</si>
  <si>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</si>
  <si>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</si>
  <si>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</si>
  <si>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</si>
  <si>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</si>
  <si>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</si>
  <si>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</si>
  <si>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</si>
  <si>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</si>
  <si>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</si>
  <si>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</si>
  <si>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</si>
  <si>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</si>
  <si>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</si>
  <si>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</si>
  <si>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</si>
  <si>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</si>
  <si>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</si>
  <si>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</si>
  <si>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</si>
  <si>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</si>
  <si>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</si>
  <si>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</si>
  <si>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</si>
  <si>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</si>
  <si>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</si>
  <si>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</si>
  <si>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</si>
  <si>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SOMBRERO DE PESCADOR</t>
  </si>
  <si>
    <t>PASAMONTAÑAS</t>
  </si>
  <si>
    <t>CUBRIDOR DE BOCAS</t>
  </si>
  <si>
    <t>ESTUCHE PARA ESPOSAS</t>
  </si>
  <si>
    <t>JUEGO DE RODILLERAS Y CODERAS</t>
  </si>
  <si>
    <t>CORREA AJUSTABLE TACTICA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</si>
  <si>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</si>
  <si>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</si>
  <si>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</si>
  <si>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</si>
  <si>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</si>
  <si>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</si>
  <si>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</si>
  <si>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</si>
  <si>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</si>
  <si>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</si>
  <si>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</si>
  <si>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</si>
  <si>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</si>
  <si>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</si>
  <si>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</si>
  <si>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</si>
  <si>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</si>
  <si>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</si>
  <si>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</si>
  <si>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</si>
  <si>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</si>
  <si>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</si>
  <si>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</si>
  <si>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</si>
  <si>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</si>
  <si>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</si>
  <si>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</si>
  <si>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</si>
  <si>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</si>
  <si>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</si>
  <si>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</si>
  <si>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</si>
  <si>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</si>
  <si>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</si>
  <si>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</si>
  <si>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</si>
  <si>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GORRO TACTICO MILITAR</t>
  </si>
  <si>
    <t>Hola RUSSELL GILMER FONSECA RAYO 😁 un gusto saludarte!
        A continuación te envío la cotización final de tu importación📋📦.
        🙋‍♂️ PAGO PENDIENTE :
        ☑️Costo CBM: $487.08
        ☑️Impuestos: $530.57
        ☑️ Total: $1017.65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</si>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</sst>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50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86</xdr:row>
      <xdr:rowOff>104775</xdr:rowOff>
    </xdr:from>
    <xdr:to>
      <xdr:col>8</xdr:col>
      <xdr:colOff>504825</xdr:colOff>
      <xdr:row>104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2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47574817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'2'!J7</f>
        <v>0.93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'2'!J11</f>
        <v>2101.5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'2'!J14 + '2'!J17</f>
        <v>296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2397.5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MAX('2'!C27:H27)</f>
        <v>0</v>
      </c>
      <c r="K20" s="12">
        <f>'2'!J28</f>
        <v>0</v>
      </c>
      <c r="L20" s="7" t="s">
        <v>25</v>
      </c>
      <c r="M20" s="1"/>
      <c r="N20" t="s">
        <v>92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'2'!J29</f>
        <v>383.6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'2'!J30</f>
        <v>47.95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431.55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'2'!J31</f>
        <v>99.01675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530.56675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2101.5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'2'!N7, '2'!N7*J11)</f>
        <v>410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530.56675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3042.06675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150</v>
      </c>
      <c r="G36" s="88">
        <f>'2'!C8</f>
        <v>1.59</v>
      </c>
      <c r="H36" s="89"/>
      <c r="I36" s="88">
        <f>'2'!C46</f>
        <v>2.3016350856531</v>
      </c>
      <c r="J36" s="88">
        <f>'2'!C44</f>
        <v>345.24526284797</v>
      </c>
      <c r="K36" s="87">
        <f>'2'!C47</f>
        <v>8.5160498169165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75</v>
      </c>
      <c r="G37" s="88">
        <f>'2'!D8</f>
        <v>1</v>
      </c>
      <c r="H37" s="86"/>
      <c r="I37" s="90">
        <f>'2'!D46</f>
        <v>1.4475692362598</v>
      </c>
      <c r="J37" s="88">
        <f>'2'!D44</f>
        <v>108.56769271949</v>
      </c>
      <c r="K37" s="87">
        <f>'2'!D47</f>
        <v>5.3560061741613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100</v>
      </c>
      <c r="G38" s="88">
        <f>'2'!E8</f>
        <v>0.8</v>
      </c>
      <c r="H38" s="86"/>
      <c r="I38" s="90">
        <f>'2'!E46</f>
        <v>1.1580553890079</v>
      </c>
      <c r="J38" s="88">
        <f>'2'!E44</f>
        <v>115.80553890079</v>
      </c>
      <c r="K38" s="87">
        <f>'2'!E47</f>
        <v>4.2848049393291</v>
      </c>
      <c r="L38" s="91"/>
      <c r="M38"/>
    </row>
    <row r="39" spans="1:14" customHeight="1" ht="15.75">
      <c r="A39"/>
      <c r="B39" s="92">
        <v>4</v>
      </c>
      <c r="C39" s="92" t="s">
        <v>52</v>
      </c>
      <c r="D39" s="92"/>
      <c r="E39" s="92"/>
      <c r="F39" s="92">
        <f>'2'!F10</f>
        <v>100</v>
      </c>
      <c r="G39" s="93">
        <f>'2'!F8</f>
        <v>2.6</v>
      </c>
      <c r="H39" s="94"/>
      <c r="I39" s="93">
        <f>'2'!F46</f>
        <v>3.7636800142755</v>
      </c>
      <c r="J39" s="93">
        <f>'2'!F44</f>
        <v>376.36800142755</v>
      </c>
      <c r="K39" s="95">
        <f>'2'!F47</f>
        <v>13.925616052819</v>
      </c>
      <c r="L39" s="96"/>
      <c r="M39"/>
    </row>
    <row r="40" spans="1:14" customHeight="1" ht="15.75">
      <c r="A40"/>
      <c r="B40" s="92">
        <v>5</v>
      </c>
      <c r="C40" s="92" t="s">
        <v>53</v>
      </c>
      <c r="D40" s="92"/>
      <c r="E40" s="92"/>
      <c r="F40" s="92">
        <f>'2'!G10</f>
        <v>250</v>
      </c>
      <c r="G40" s="93">
        <f>'2'!G8</f>
        <v>2.9</v>
      </c>
      <c r="H40" s="94"/>
      <c r="I40" s="93">
        <f>'2'!G46</f>
        <v>4.1979507851535</v>
      </c>
      <c r="J40" s="93">
        <f>'2'!G44</f>
        <v>1049.4876962884</v>
      </c>
      <c r="K40" s="95">
        <f>'2'!G47</f>
        <v>15.532417905068</v>
      </c>
      <c r="L40" s="96"/>
      <c r="M40"/>
    </row>
    <row r="41" spans="1:14" customHeight="1" ht="15.75">
      <c r="A41"/>
      <c r="B41" s="92">
        <v>6</v>
      </c>
      <c r="C41" s="92" t="s">
        <v>54</v>
      </c>
      <c r="D41" s="92"/>
      <c r="E41" s="92"/>
      <c r="F41" s="92">
        <f>'2'!H10</f>
        <v>400</v>
      </c>
      <c r="G41" s="93">
        <f>'2'!H8</f>
        <v>1.2125</v>
      </c>
      <c r="H41" s="94"/>
      <c r="I41" s="93">
        <f>'2'!H46</f>
        <v>1.755177698965</v>
      </c>
      <c r="J41" s="93">
        <f>'2'!H44</f>
        <v>702.07107958601</v>
      </c>
      <c r="K41" s="95">
        <f>'2'!H47</f>
        <v>6.4941574861706</v>
      </c>
      <c r="L41" s="96"/>
      <c r="M41"/>
    </row>
    <row r="42" spans="1:14" customHeight="1" ht="15.75">
      <c r="A42"/>
      <c r="B42" s="92">
        <v>7</v>
      </c>
      <c r="C42" s="92" t="s">
        <v>91</v>
      </c>
      <c r="D42" s="92"/>
      <c r="E42" s="92"/>
      <c r="F42" s="92">
        <f>'2'!I10</f>
        <v>140</v>
      </c>
      <c r="G42" s="93">
        <f>'2'!I8</f>
        <v>1.7</v>
      </c>
      <c r="H42" s="94"/>
      <c r="I42" s="93">
        <f>'2'!I46</f>
        <v>2.4608677016417</v>
      </c>
      <c r="J42" s="93">
        <f>'2'!I44</f>
        <v>344.52147822984</v>
      </c>
      <c r="K42" s="95">
        <f>'2'!I47</f>
        <v>9.1052104960742</v>
      </c>
      <c r="L42" s="96"/>
      <c r="M42"/>
    </row>
    <row r="43" spans="1:14">
      <c r="A43" s="1"/>
      <c r="B43" s="97" t="s">
        <v>36</v>
      </c>
      <c r="C43" s="5"/>
      <c r="D43" s="5"/>
      <c r="E43" s="5"/>
      <c r="F43" s="97">
        <f>SUM(F36:F42)</f>
        <v>1215</v>
      </c>
      <c r="G43" s="5"/>
      <c r="H43" s="5"/>
      <c r="I43" s="5"/>
      <c r="J43" s="98">
        <f>SUM(J36:J42)</f>
        <v>3042.06675</v>
      </c>
      <c r="K43" s="29"/>
      <c r="L43" s="30"/>
      <c r="M43" s="1"/>
    </row>
    <row r="44" spans="1:14" customHeight="1" ht="18.75">
      <c r="B44" s="99" t="s">
        <v>90</v>
      </c>
      <c r="C44" s="5"/>
      <c r="D44" s="5"/>
      <c r="E44" s="5"/>
      <c r="F44" s="5"/>
      <c r="G44" s="5"/>
      <c r="H44" s="5"/>
      <c r="I44" s="5"/>
      <c r="J44" s="5"/>
      <c r="K44" s="5"/>
      <c r="L44"/>
      <c r="M44"/>
    </row>
    <row r="45" spans="1:14" customHeight="1" ht="18.75">
      <c r="B45" s="40" t="s">
        <v>89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88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87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 customHeight="1" ht="18.75">
      <c r="B48" s="40" t="s">
        <v>86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/>
    </row>
    <row r="49" spans="1:14" customHeight="1" ht="18.75">
      <c r="B49" s="40" t="s">
        <v>85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/>
    </row>
    <row r="50" spans="1:14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1"/>
    </row>
    <row r="51" spans="1:14" customHeight="1" ht="9">
      <c r="B51" s="38"/>
      <c r="C51" s="38"/>
      <c r="E51" s="38"/>
      <c r="F51" s="38"/>
      <c r="G51" s="38"/>
      <c r="H51" s="38"/>
      <c r="I51" s="38"/>
      <c r="J51" s="38"/>
      <c r="K51" s="38"/>
      <c r="L51" s="38"/>
      <c r="M51" s="38"/>
    </row>
    <row r="52" spans="1:14" customHeight="1" ht="31.9">
      <c r="B52" s="38"/>
      <c r="C52" s="38"/>
      <c r="D52" s="52" t="s">
        <v>0</v>
      </c>
      <c r="E52" s="52"/>
      <c r="F52" s="52"/>
      <c r="G52" s="52"/>
      <c r="H52" s="52"/>
      <c r="I52" s="52"/>
      <c r="J52" s="52"/>
      <c r="K52" s="52"/>
      <c r="L52" s="52"/>
      <c r="M52" s="52"/>
    </row>
    <row r="53" spans="1:14" customHeight="1" ht="21">
      <c r="B53" s="38"/>
      <c r="C53" s="38"/>
      <c r="D53" s="55" t="s">
        <v>84</v>
      </c>
      <c r="E53" s="55"/>
      <c r="F53" s="55"/>
      <c r="G53" s="55"/>
      <c r="H53" s="55"/>
      <c r="I53" s="55"/>
      <c r="M53"/>
    </row>
    <row r="54" spans="1:14">
      <c r="B54" s="38"/>
      <c r="C54" s="38"/>
      <c r="M54" s="1"/>
    </row>
    <row r="55" spans="1:14">
      <c r="B55" s="38"/>
      <c r="C55" s="38"/>
      <c r="M55" s="1"/>
    </row>
    <row r="56" spans="1:14" customHeight="1" ht="21">
      <c r="B56" s="47" t="s">
        <v>83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/>
    </row>
    <row r="57" spans="1:14">
      <c r="M57" s="1"/>
    </row>
    <row r="58" spans="1:14">
      <c r="B58" s="37" t="s">
        <v>82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7" t="s">
        <v>81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9" t="s">
        <v>80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"/>
    </row>
    <row r="61" spans="1:14">
      <c r="B61" s="37" t="s">
        <v>79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7" t="s">
        <v>78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9" t="s">
        <v>77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1"/>
    </row>
    <row r="64" spans="1:14">
      <c r="B64" s="37" t="s">
        <v>76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75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74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73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72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71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70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69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68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67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7" t="s">
        <v>66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6" t="s">
        <v>65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1"/>
    </row>
    <row r="76" spans="1:14">
      <c r="B76" s="37" t="s">
        <v>64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6" t="s">
        <v>63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1"/>
    </row>
    <row r="78" spans="1:14">
      <c r="B78" s="37" t="s">
        <v>62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61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60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59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B82" s="37" t="s">
        <v>58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A83" s="31"/>
      <c r="B83" s="45" t="s">
        <v>57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1"/>
    </row>
    <row r="84" spans="1:14">
      <c r="A84" s="31"/>
      <c r="B84" s="37" t="s">
        <v>56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1"/>
    </row>
    <row r="85" spans="1:14">
      <c r="A85" s="31"/>
      <c r="B85" s="45" t="s">
        <v>55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1"/>
    </row>
    <row r="86" spans="1:14"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>
      <c r="C92" s="38"/>
      <c r="D92" s="38"/>
      <c r="E92" s="38"/>
      <c r="F92" s="38"/>
      <c r="G92" s="38"/>
      <c r="H92" s="38"/>
      <c r="I92" s="38"/>
      <c r="M92" s="1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 customHeight="1" ht="15.6">
      <c r="C94" s="38"/>
      <c r="D94" s="38"/>
      <c r="E94" s="38"/>
      <c r="F94" s="38"/>
      <c r="G94" s="38"/>
      <c r="H94" s="38"/>
      <c r="I94" s="38"/>
      <c r="M94"/>
    </row>
    <row r="95" spans="1:14" customHeight="1" ht="15.6">
      <c r="C95" s="38"/>
      <c r="D95" s="38"/>
      <c r="E95" s="38"/>
      <c r="F95" s="38"/>
      <c r="G95" s="38"/>
      <c r="H95" s="38"/>
      <c r="I95" s="38"/>
      <c r="M95"/>
    </row>
    <row r="96" spans="1:14">
      <c r="C96" s="38"/>
      <c r="D96" s="38"/>
      <c r="E96" s="38"/>
      <c r="F96" s="38"/>
      <c r="G96" s="38"/>
      <c r="H96" s="38"/>
      <c r="I96" s="38"/>
      <c r="M96" s="1"/>
    </row>
    <row r="97" spans="1:14">
      <c r="M97" s="1"/>
    </row>
    <row r="98" spans="1:14">
      <c r="M98" s="1"/>
    </row>
    <row r="99" spans="1:14">
      <c r="M99" s="1"/>
    </row>
    <row r="100" spans="1:14">
      <c r="M100" s="1"/>
    </row>
    <row r="101" spans="1:14">
      <c r="M101" s="1"/>
    </row>
    <row r="102" spans="1:14" customHeight="1" ht="15.6">
      <c r="M102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7:I96"/>
    <mergeCell ref="A1:L1"/>
    <mergeCell ref="E2:L2"/>
    <mergeCell ref="D53:I53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8:L48"/>
    <mergeCell ref="B46:L46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6:L56"/>
    <mergeCell ref="B47:L47"/>
    <mergeCell ref="D52:J52"/>
    <mergeCell ref="K52:M52"/>
    <mergeCell ref="E51:M51"/>
    <mergeCell ref="K35:L35"/>
    <mergeCell ref="B82:L82"/>
    <mergeCell ref="B77:L77"/>
    <mergeCell ref="B78:L78"/>
    <mergeCell ref="B79:L79"/>
    <mergeCell ref="B80:L80"/>
    <mergeCell ref="B81:L81"/>
    <mergeCell ref="B85:L85"/>
    <mergeCell ref="B68:L68"/>
    <mergeCell ref="B69:L69"/>
    <mergeCell ref="B70:L70"/>
    <mergeCell ref="B61:L61"/>
    <mergeCell ref="B62:L62"/>
    <mergeCell ref="B63:L63"/>
    <mergeCell ref="B64:L64"/>
    <mergeCell ref="B65:L65"/>
    <mergeCell ref="B66:L66"/>
    <mergeCell ref="B67:L67"/>
    <mergeCell ref="B72:L72"/>
    <mergeCell ref="B73:L73"/>
    <mergeCell ref="B74:L74"/>
    <mergeCell ref="B84:L84"/>
    <mergeCell ref="B83:L83"/>
    <mergeCell ref="B75:L75"/>
    <mergeCell ref="B76:L76"/>
    <mergeCell ref="A7:C7"/>
    <mergeCell ref="I7:L7"/>
    <mergeCell ref="B60:L60"/>
    <mergeCell ref="B49:L49"/>
    <mergeCell ref="B45:L45"/>
    <mergeCell ref="B58:L58"/>
    <mergeCell ref="B71:L71"/>
    <mergeCell ref="B59:L59"/>
    <mergeCell ref="J11:L11"/>
    <mergeCell ref="B51:C55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0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0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15.282" bestFit="true" customWidth="true" style="0"/>
    <col min="5" max="5" width="21.138" bestFit="true" customWidth="true" style="0"/>
    <col min="6" max="6" width="24.708" bestFit="true" customWidth="true" style="0"/>
    <col min="7" max="7" width="35.277" bestFit="true" customWidth="true" style="0"/>
    <col min="8" max="8" width="29.421" bestFit="true" customWidth="true" style="0"/>
    <col min="9" max="9" width="25.851" bestFit="true" customWidth="true" style="0"/>
    <col min="10" max="10" width="11.711" bestFit="true" customWidth="true" style="0"/>
  </cols>
  <sheetData>
    <row r="3" spans="1:14">
      <c r="B3" s="73" t="s">
        <v>93</v>
      </c>
      <c r="C3"/>
      <c r="D3"/>
      <c r="E3"/>
      <c r="F3"/>
      <c r="G3"/>
    </row>
    <row r="5" spans="1:14">
      <c r="B5" s="75" t="s">
        <v>94</v>
      </c>
      <c r="C5" s="74" t="s">
        <v>49</v>
      </c>
      <c r="D5" s="74" t="s">
        <v>50</v>
      </c>
      <c r="E5" s="74" t="s">
        <v>51</v>
      </c>
      <c r="F5" s="74" t="s">
        <v>52</v>
      </c>
      <c r="G5" s="74" t="s">
        <v>53</v>
      </c>
      <c r="H5" s="74" t="s">
        <v>54</v>
      </c>
      <c r="I5" s="74" t="s">
        <v>91</v>
      </c>
      <c r="J5" s="74" t="s">
        <v>111</v>
      </c>
    </row>
    <row r="6" spans="1:14">
      <c r="B6" t="s">
        <v>95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80">
        <v>215.3</v>
      </c>
      <c r="M6" s="78" t="s">
        <v>109</v>
      </c>
      <c r="N6" s="78" t="s">
        <v>110</v>
      </c>
    </row>
    <row r="7" spans="1:14">
      <c r="B7" t="s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81">
        <v>0.93</v>
      </c>
      <c r="M7" s="79" t="s">
        <v>19</v>
      </c>
      <c r="N7" s="79">
        <v>410.0</v>
      </c>
    </row>
    <row r="8" spans="1:14">
      <c r="B8" t="s">
        <v>97</v>
      </c>
      <c r="C8" s="77">
        <v>1.59</v>
      </c>
      <c r="D8" s="77">
        <v>1.0</v>
      </c>
      <c r="E8" s="77">
        <v>0.8</v>
      </c>
      <c r="F8" s="77">
        <v>2.6</v>
      </c>
      <c r="G8" s="77">
        <v>2.9</v>
      </c>
      <c r="H8" s="77">
        <v>1.2125</v>
      </c>
      <c r="I8" s="77">
        <v>1.7</v>
      </c>
      <c r="J8"/>
    </row>
    <row r="9" spans="1:14">
      <c r="B9" s="76" t="s">
        <v>98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 s="77">
        <v>0.0</v>
      </c>
      <c r="J9"/>
    </row>
    <row r="10" spans="1:14">
      <c r="B10" t="s">
        <v>99</v>
      </c>
      <c r="C10">
        <v>150.0</v>
      </c>
      <c r="D10">
        <v>75.0</v>
      </c>
      <c r="E10">
        <v>100.0</v>
      </c>
      <c r="F10">
        <v>100.0</v>
      </c>
      <c r="G10">
        <v>250.0</v>
      </c>
      <c r="H10">
        <v>400.0</v>
      </c>
      <c r="I10">
        <v>140.0</v>
      </c>
      <c r="J10">
        <f>SUM(C10:I10)</f>
        <v>1215</v>
      </c>
    </row>
    <row r="11" spans="1:14">
      <c r="B11" t="s">
        <v>100</v>
      </c>
      <c r="C11" s="77">
        <f>C8*C10</f>
        <v>238.5</v>
      </c>
      <c r="D11" s="77">
        <f>D8*D10</f>
        <v>75</v>
      </c>
      <c r="E11" s="77">
        <f>E8*E10</f>
        <v>80</v>
      </c>
      <c r="F11" s="77">
        <f>F8*F10</f>
        <v>260</v>
      </c>
      <c r="G11" s="77">
        <f>G8*G10</f>
        <v>725</v>
      </c>
      <c r="H11" s="77">
        <f>H8*H10</f>
        <v>485</v>
      </c>
      <c r="I11" s="77">
        <f>I8*I10</f>
        <v>238</v>
      </c>
      <c r="J11" s="85">
        <f>SUM(C11:I11)</f>
        <v>2101.5</v>
      </c>
    </row>
    <row r="12" spans="1:14">
      <c r="B12" s="76" t="s">
        <v>101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77">
        <f>I10*I9</f>
        <v>0</v>
      </c>
      <c r="J12" s="85">
        <f>SUM(C12:I12)</f>
        <v>0</v>
      </c>
    </row>
    <row r="13" spans="1:14">
      <c r="B13" t="s">
        <v>102</v>
      </c>
      <c r="C13" s="82">
        <f>C11/J11</f>
        <v>0.1134903640257</v>
      </c>
      <c r="D13" s="82">
        <f>D11/J11</f>
        <v>0.035688793718772</v>
      </c>
      <c r="E13" s="82">
        <f>E11/J11</f>
        <v>0.038068046633357</v>
      </c>
      <c r="F13" s="82">
        <f>F11/J11</f>
        <v>0.12372115155841</v>
      </c>
      <c r="G13" s="82">
        <f>G11/J11</f>
        <v>0.3449916726148</v>
      </c>
      <c r="H13" s="82">
        <f>H11/J11</f>
        <v>0.23078753271473</v>
      </c>
      <c r="I13" s="82">
        <f>I11/J11</f>
        <v>0.11325243873424</v>
      </c>
      <c r="J13"/>
    </row>
    <row r="14" spans="1:14">
      <c r="B14" t="s">
        <v>103</v>
      </c>
      <c r="C14" s="77">
        <f>J14*C13</f>
        <v>27.918629550321</v>
      </c>
      <c r="D14" s="77">
        <f>J14*D13</f>
        <v>8.779443254818</v>
      </c>
      <c r="E14" s="77">
        <f>J14*E13</f>
        <v>9.3647394718059</v>
      </c>
      <c r="F14" s="77">
        <f>J14*F13</f>
        <v>30.435403283369</v>
      </c>
      <c r="G14" s="77">
        <f>J14*G13</f>
        <v>84.867951463241</v>
      </c>
      <c r="H14" s="77">
        <f>J14*H13</f>
        <v>56.773733047823</v>
      </c>
      <c r="I14" s="77">
        <f>J14*I13</f>
        <v>27.860099928622</v>
      </c>
      <c r="J14" s="85">
        <f>IF(J7&lt;1, N7*0.6, N7*0.6*J7)</f>
        <v>246</v>
      </c>
    </row>
    <row r="15" spans="1:14">
      <c r="B15" t="s">
        <v>104</v>
      </c>
      <c r="C15" s="77">
        <f>C11+C14</f>
        <v>266.41862955032</v>
      </c>
      <c r="D15" s="77">
        <f>D11+D14</f>
        <v>83.779443254818</v>
      </c>
      <c r="E15" s="77">
        <f>E11+E14</f>
        <v>89.364739471806</v>
      </c>
      <c r="F15" s="77">
        <f>F11+F14</f>
        <v>290.43540328337</v>
      </c>
      <c r="G15" s="77">
        <f>G11+G14</f>
        <v>809.86795146324</v>
      </c>
      <c r="H15" s="77">
        <f>H11+H14</f>
        <v>541.77373304782</v>
      </c>
      <c r="I15" s="77">
        <f>I11+I14</f>
        <v>265.86009992862</v>
      </c>
      <c r="J15" s="85">
        <f>SUM(C15:I15)</f>
        <v>2347.5</v>
      </c>
    </row>
    <row r="16" spans="1:14">
      <c r="B16" s="76" t="s">
        <v>105</v>
      </c>
      <c r="C16" s="77">
        <f>C12+C14</f>
        <v>27.918629550321</v>
      </c>
      <c r="D16" s="77">
        <f>D12+D14</f>
        <v>8.779443254818</v>
      </c>
      <c r="E16" s="77">
        <f>E12+E14</f>
        <v>9.3647394718059</v>
      </c>
      <c r="F16" s="77">
        <f>F12+F14</f>
        <v>30.435403283369</v>
      </c>
      <c r="G16" s="77">
        <f>G12+G14</f>
        <v>84.867951463241</v>
      </c>
      <c r="H16" s="77">
        <f>H12+H14</f>
        <v>56.773733047823</v>
      </c>
      <c r="I16" s="77">
        <f>I12+I14</f>
        <v>27.860099928622</v>
      </c>
      <c r="J16" s="85">
        <f>SUM(C16:I16)</f>
        <v>246</v>
      </c>
    </row>
    <row r="17" spans="1:14">
      <c r="B17" t="s">
        <v>106</v>
      </c>
      <c r="C17" s="77">
        <f>IF(J11&gt;5000,100*C13,50*C13)</f>
        <v>5.6745182012848</v>
      </c>
      <c r="D17" s="77">
        <f>IF(J11&gt;5000,100*D13,50*D13)</f>
        <v>1.7844396859386</v>
      </c>
      <c r="E17" s="77">
        <f>IF(J11&gt;5000,100*E13,50*E13)</f>
        <v>1.9034023316679</v>
      </c>
      <c r="F17" s="77">
        <f>IF(J11&gt;5000,100*F13,50*F13)</f>
        <v>6.1860575779205</v>
      </c>
      <c r="G17" s="77">
        <f>IF(J11&gt;5000,100*G13,50*G13)</f>
        <v>17.24958363074</v>
      </c>
      <c r="H17" s="77">
        <f>IF(J11&gt;5000,100*H13,50*H13)</f>
        <v>11.539376635736</v>
      </c>
      <c r="I17" s="77">
        <f>IF(J11&gt;5000,100*I13,50*I13)</f>
        <v>5.6626219367119</v>
      </c>
      <c r="J17" s="85">
        <f>SUM(C17:I17)</f>
        <v>50</v>
      </c>
    </row>
    <row r="18" spans="1:14">
      <c r="B18" t="s">
        <v>107</v>
      </c>
      <c r="C18" s="77">
        <f>C15+C17</f>
        <v>272.09314775161</v>
      </c>
      <c r="D18" s="77">
        <f>D15+D17</f>
        <v>85.563882940757</v>
      </c>
      <c r="E18" s="77">
        <f>E15+E17</f>
        <v>91.268141803474</v>
      </c>
      <c r="F18" s="77">
        <f>F15+F17</f>
        <v>296.62146086129</v>
      </c>
      <c r="G18" s="77">
        <f>G15+G17</f>
        <v>827.11753509398</v>
      </c>
      <c r="H18" s="77">
        <f>H15+H17</f>
        <v>553.31310968356</v>
      </c>
      <c r="I18" s="77">
        <f>I15+I17</f>
        <v>271.52272186533</v>
      </c>
      <c r="J18" s="85">
        <f>SUM(C18:I18)</f>
        <v>2397.5</v>
      </c>
    </row>
    <row r="19" spans="1:14">
      <c r="B19" s="76" t="s">
        <v>108</v>
      </c>
      <c r="C19" s="77">
        <f>C16+C17</f>
        <v>33.593147751606</v>
      </c>
      <c r="D19" s="77">
        <f>D16+D17</f>
        <v>10.563882940757</v>
      </c>
      <c r="E19" s="77">
        <f>E16+E17</f>
        <v>11.268141803474</v>
      </c>
      <c r="F19" s="77">
        <f>F16+F17</f>
        <v>36.62146086129</v>
      </c>
      <c r="G19" s="77">
        <f>G16+G17</f>
        <v>102.11753509398</v>
      </c>
      <c r="H19" s="77">
        <f>H16+H17</f>
        <v>68.313109683559</v>
      </c>
      <c r="I19" s="77">
        <f>I16+I17</f>
        <v>33.522721865334</v>
      </c>
      <c r="J19" s="85">
        <f>SUM(C19:I19)</f>
        <v>296</v>
      </c>
    </row>
    <row r="23" spans="1:14">
      <c r="B23" s="73" t="s">
        <v>118</v>
      </c>
      <c r="C23"/>
      <c r="D23"/>
      <c r="E23"/>
    </row>
    <row r="26" spans="1:14">
      <c r="B26" t="s">
        <v>119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f>SUM(C26:I26)</f>
        <v>0</v>
      </c>
    </row>
    <row r="27" spans="1:14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2">
        <f>SUM(C27:I27)</f>
        <v>0</v>
      </c>
    </row>
    <row r="28" spans="1:14">
      <c r="B28" t="s">
        <v>112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MAX(I19,I18)*I27</f>
        <v>0</v>
      </c>
      <c r="J28" s="77">
        <f>SUM(C28:I28)</f>
        <v>0</v>
      </c>
    </row>
    <row r="29" spans="1:14">
      <c r="B29" t="s">
        <v>31</v>
      </c>
      <c r="C29" s="77">
        <f>0.16*(MAX(C19,C18)+C28)</f>
        <v>43.534903640257</v>
      </c>
      <c r="D29" s="77">
        <f>0.16*(MAX(D19,D18)+D28)</f>
        <v>13.690221270521</v>
      </c>
      <c r="E29" s="77">
        <f>0.16*(MAX(E19,E18)+E28)</f>
        <v>14.602902688556</v>
      </c>
      <c r="F29" s="77">
        <f>0.16*(MAX(F19,F18)+F28)</f>
        <v>47.459433737806</v>
      </c>
      <c r="G29" s="77">
        <f>0.16*(MAX(G19,G18)+G28)</f>
        <v>132.33880561504</v>
      </c>
      <c r="H29" s="77">
        <f>0.16*(MAX(H19,H18)+H28)</f>
        <v>88.53009754937</v>
      </c>
      <c r="I29" s="77">
        <f>0.16*(MAX(I19,I18)+I28)</f>
        <v>43.443635498453</v>
      </c>
      <c r="J29" s="77">
        <f>SUM(C29:I29)</f>
        <v>383.6</v>
      </c>
    </row>
    <row r="30" spans="1:14">
      <c r="B30" t="s">
        <v>32</v>
      </c>
      <c r="C30" s="77">
        <f>0.02*(MAX(C19,C18)+C28)</f>
        <v>5.4418629550321</v>
      </c>
      <c r="D30" s="77">
        <f>0.02*(MAX(D19,D18)+D28)</f>
        <v>1.7112776588151</v>
      </c>
      <c r="E30" s="77">
        <f>0.02*(MAX(E19,E18)+E28)</f>
        <v>1.8253628360695</v>
      </c>
      <c r="F30" s="77">
        <f>0.02*(MAX(F19,F18)+F28)</f>
        <v>5.9324292172258</v>
      </c>
      <c r="G30" s="77">
        <f>0.02*(MAX(G19,G18)+G28)</f>
        <v>16.54235070188</v>
      </c>
      <c r="H30" s="77">
        <f>0.02*(MAX(H19,H18)+H28)</f>
        <v>11.066262193671</v>
      </c>
      <c r="I30" s="77">
        <f>0.02*(MAX(I19,I18)+I28)</f>
        <v>5.4304544373067</v>
      </c>
      <c r="J30" s="77">
        <f>SUM(C30:I30)</f>
        <v>47.95</v>
      </c>
    </row>
    <row r="31" spans="1:14">
      <c r="B31" t="s">
        <v>113</v>
      </c>
      <c r="C31" s="77">
        <f>0.035*(MAX(C18,C19) +C28+C29+C30)</f>
        <v>11.237447002141</v>
      </c>
      <c r="D31" s="77">
        <f>0.035*(MAX(D18,D19) +D28+D29+D30)</f>
        <v>3.5337883654532</v>
      </c>
      <c r="E31" s="77">
        <f>0.035*(MAX(E18,E19) +E28+E29+E30)</f>
        <v>3.7693742564835</v>
      </c>
      <c r="F31" s="77">
        <f>0.035*(MAX(F18,F19) +F28+F29+F30)</f>
        <v>12.250466333571</v>
      </c>
      <c r="G31" s="77">
        <f>0.035*(MAX(G18,G19) +G28+G29+G30)</f>
        <v>34.159954199381</v>
      </c>
      <c r="H31" s="77">
        <f>0.035*(MAX(H18,H19) +H28+H29+H30)</f>
        <v>22.851831429931</v>
      </c>
      <c r="I31" s="77">
        <f>0.035*(MAX(I18,I19) +I28+I29+I30)</f>
        <v>11.213888413038</v>
      </c>
      <c r="J31" s="77">
        <f>SUM(C31:I31)</f>
        <v>99.01675</v>
      </c>
    </row>
    <row r="32" spans="1:14">
      <c r="B32" t="s">
        <v>36</v>
      </c>
      <c r="C32" s="77">
        <f>SUM(C28:C31)</f>
        <v>60.21421359743</v>
      </c>
      <c r="D32" s="77">
        <f>SUM(D28:D31)</f>
        <v>18.935287294789</v>
      </c>
      <c r="E32" s="77">
        <f>SUM(E28:E31)</f>
        <v>20.197639781109</v>
      </c>
      <c r="F32" s="77">
        <f>SUM(F28:F31)</f>
        <v>65.642329288603</v>
      </c>
      <c r="G32" s="77">
        <f>SUM(G28:G31)</f>
        <v>183.0411105163</v>
      </c>
      <c r="H32" s="77">
        <f>SUM(H28:H31)</f>
        <v>122.44819117297</v>
      </c>
      <c r="I32" s="77">
        <f>SUM(I28:I31)</f>
        <v>60.087978348798</v>
      </c>
      <c r="J32" s="77">
        <f>SUM(J28:J31)</f>
        <v>530.56675</v>
      </c>
    </row>
    <row r="37" spans="1:14">
      <c r="B37" s="73" t="s">
        <v>120</v>
      </c>
      <c r="C37"/>
      <c r="D37"/>
      <c r="E37"/>
    </row>
    <row r="40" spans="1:14">
      <c r="B40" t="s">
        <v>114</v>
      </c>
      <c r="C40" s="77">
        <f>C13*J40</f>
        <v>18.612419700214</v>
      </c>
      <c r="D40" s="77">
        <f>D13*J40</f>
        <v>5.8529621698787</v>
      </c>
      <c r="E40" s="77">
        <f>E13*J40</f>
        <v>6.2431596478706</v>
      </c>
      <c r="F40" s="77">
        <f>F13*J40</f>
        <v>20.290268855579</v>
      </c>
      <c r="G40" s="77">
        <f>G13*J40</f>
        <v>56.578634308827</v>
      </c>
      <c r="H40" s="77">
        <f>H13*J40</f>
        <v>37.849155365215</v>
      </c>
      <c r="I40" s="77">
        <f>I13*J40</f>
        <v>18.573399952415</v>
      </c>
      <c r="J40" s="77">
        <f>IF(J7&lt;1, N7*0.4,N7*0.4*J7)</f>
        <v>164</v>
      </c>
    </row>
    <row r="41" spans="1:14">
      <c r="B41"/>
    </row>
    <row r="43" spans="1:14">
      <c r="B43" t="s">
        <v>114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91</v>
      </c>
      <c r="J43" t="s">
        <v>111</v>
      </c>
    </row>
    <row r="44" spans="1:14">
      <c r="B44" t="s">
        <v>115</v>
      </c>
      <c r="C44" s="77">
        <f>SUM(C15,C40,C32,(C26))</f>
        <v>345.24526284797</v>
      </c>
      <c r="D44" s="77">
        <f>SUM(D15,D40,D32,(D26))</f>
        <v>108.56769271949</v>
      </c>
      <c r="E44" s="77">
        <f>SUM(E15,E40,E32,(E26))</f>
        <v>115.80553890079</v>
      </c>
      <c r="F44" s="77">
        <f>SUM(F15,F40,F32,(F26))</f>
        <v>376.36800142755</v>
      </c>
      <c r="G44" s="77">
        <f>SUM(G15,G40,G32,(G26))</f>
        <v>1049.4876962884</v>
      </c>
      <c r="H44" s="77">
        <f>SUM(H15,H40,H32,(H26))</f>
        <v>702.07107958601</v>
      </c>
      <c r="I44" s="77">
        <f>SUM(I15,I40,I32,(I26))</f>
        <v>344.52147822984</v>
      </c>
      <c r="J44" s="77">
        <f>SUM(C44:I44)</f>
        <v>3042.06675</v>
      </c>
    </row>
    <row r="45" spans="1:14">
      <c r="B45" t="s">
        <v>45</v>
      </c>
      <c r="C45">
        <v>150.0</v>
      </c>
      <c r="D45">
        <v>75.0</v>
      </c>
      <c r="E45">
        <v>100.0</v>
      </c>
      <c r="F45">
        <v>100.0</v>
      </c>
      <c r="G45">
        <v>250.0</v>
      </c>
      <c r="H45">
        <v>400.0</v>
      </c>
      <c r="I45">
        <v>140.0</v>
      </c>
      <c r="J45"/>
    </row>
    <row r="46" spans="1:14">
      <c r="B46" t="s">
        <v>116</v>
      </c>
      <c r="C46" s="77">
        <f>SUM(C44/C45)</f>
        <v>2.3016350856531</v>
      </c>
      <c r="D46" s="77">
        <f>SUM(D44/D45)</f>
        <v>1.4475692362598</v>
      </c>
      <c r="E46" s="77">
        <f>SUM(E44/E45)</f>
        <v>1.1580553890079</v>
      </c>
      <c r="F46" s="77">
        <f>SUM(F44/F45)</f>
        <v>3.7636800142755</v>
      </c>
      <c r="G46" s="77">
        <f>SUM(G44/G45)</f>
        <v>4.1979507851535</v>
      </c>
      <c r="H46" s="77">
        <f>SUM(H44/H45)</f>
        <v>1.755177698965</v>
      </c>
      <c r="I46" s="77">
        <f>SUM(I44/I45)</f>
        <v>2.4608677016417</v>
      </c>
      <c r="J46"/>
    </row>
    <row r="47" spans="1:14">
      <c r="B47" t="s">
        <v>117</v>
      </c>
      <c r="C47" s="84">
        <f>C46*3.7</f>
        <v>8.5160498169165</v>
      </c>
      <c r="D47" s="84">
        <f>D46*3.7</f>
        <v>5.3560061741613</v>
      </c>
      <c r="E47" s="84">
        <f>E46*3.7</f>
        <v>4.2848049393291</v>
      </c>
      <c r="F47" s="84">
        <f>F46*3.7</f>
        <v>13.925616052819</v>
      </c>
      <c r="G47" s="84">
        <f>G46*3.7</f>
        <v>15.532417905068</v>
      </c>
      <c r="H47" s="84">
        <f>H46*3.7</f>
        <v>6.4941574861706</v>
      </c>
      <c r="I47" s="84">
        <f>I46*3.7</f>
        <v>9.1052104960742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