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<sst xmlns="http://schemas.openxmlformats.org/spreadsheetml/2006/main" uniqueCount="115">
  <si>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</si>
  <si>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</si>
  <si>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</si>
  <si>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</si>
  <si>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JERRY PRADO PIÑAS</t>
  </si>
  <si>
    <t>SERVICIO:</t>
  </si>
  <si>
    <t>CARGA CONSOLIDADA</t>
  </si>
  <si>
    <t>N° CAJAS:</t>
  </si>
  <si>
    <t>APELLIDO:</t>
  </si>
  <si>
    <t>FECHA:</t>
  </si>
  <si>
    <t>PESO:</t>
  </si>
  <si>
    <t>441.9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</si>
  <si>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</si>
  <si>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</si>
  <si>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</si>
  <si>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</si>
  <si>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</si>
  <si>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</si>
  <si>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</si>
  <si>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</si>
  <si>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</si>
  <si>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</si>
  <si>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</si>
  <si>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</si>
  <si>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</si>
  <si>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</si>
  <si>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</si>
  <si>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</si>
  <si>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</si>
  <si>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</si>
  <si>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</si>
  <si>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</si>
  <si>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</si>
  <si>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</si>
  <si>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</si>
  <si>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</si>
  <si>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</si>
  <si>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</si>
  <si>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</si>
  <si>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</si>
  <si>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</si>
  <si>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</si>
  <si>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</si>
  <si>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</si>
  <si>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</si>
  <si>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</si>
  <si>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</si>
  <si>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</si>
  <si>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SOPORTE DE VIDRIO</t>
  </si>
  <si>
    <t>BOLA HUECA PARA PASAMANOS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</si>
  <si>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</si>
  <si>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</si>
  <si>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</si>
  <si>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</si>
  <si>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</si>
  <si>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</si>
  <si>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</si>
  <si>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</si>
  <si>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</si>
  <si>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</si>
  <si>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</si>
  <si>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</si>
  <si>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</si>
  <si>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</si>
  <si>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</si>
  <si>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</si>
  <si>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</si>
  <si>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</si>
  <si>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</si>
  <si>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</si>
  <si>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</si>
  <si>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</si>
  <si>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</si>
  <si>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</si>
  <si>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</si>
  <si>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</si>
  <si>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</si>
  <si>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</si>
  <si>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</si>
  <si>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</si>
  <si>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</si>
  <si>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</si>
  <si>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</si>
  <si>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</si>
  <si>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</si>
  <si>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</si>
  <si>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JERRY PRADO PIÑAS 😁 un gusto saludarte!
        A continuación te envío la cotización final de tu importación📋📦.
        🙋‍♂️ PAGO PENDIENTE :
        ☑️Costo CBM: $332.64
        ☑️Impuestos: $951.46
        ☑️ Total: $1284.1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</si>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</sst>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right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2" numFmtId="0" fillId="2" borderId="0" applyFont="1" applyNumberFormat="0" applyFill="1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3" borderId="9" applyFont="1" applyNumberFormat="0" applyFill="1" applyBorder="1" applyAlignment="1">
      <alignment horizontal="center" vertical="bottom" textRotation="0" wrapText="false" shrinkToFit="false"/>
    </xf>
    <xf xfId="0" fontId="14" numFmtId="0" fillId="3" borderId="6" applyFont="1" applyNumberFormat="0" applyFill="1" applyBorder="1" applyAlignment="1">
      <alignment horizontal="center" vertical="bottom" textRotation="0" wrapText="false" shrinkToFit="false"/>
    </xf>
    <xf xfId="0" fontId="14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5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2" borderId="1" applyFont="1" applyNumberFormat="1" applyFill="1" applyBorder="1" applyAlignment="1">
      <alignment horizontal="center" vertical="bottom" textRotation="0" wrapText="false" shrinkToFit="false"/>
    </xf>
    <xf xfId="0" fontId="17" numFmtId="174" fillId="2" borderId="1" applyFont="1" applyNumberFormat="1" applyFill="1" applyBorder="1" applyAlignment="1">
      <alignment horizontal="center" vertical="bottom" textRotation="0" wrapText="false" shrinkToFit="false"/>
    </xf>
    <xf xfId="0" fontId="17" numFmtId="173" fillId="0" borderId="1" applyFont="1" applyNumberFormat="1" applyFill="0" applyBorder="1" applyAlignment="1">
      <alignment horizontal="center" vertical="bottom" textRotation="0" wrapText="false" shrinkToFit="false"/>
    </xf>
    <xf xfId="0" fontId="19" numFmtId="166" fillId="2" borderId="1" applyFont="1" applyNumberFormat="1" applyFill="1" applyBorder="1" applyAlignment="1">
      <alignment horizontal="left" vertical="bottom" textRotation="0" wrapText="false" shrinkToFit="false"/>
    </xf>
    <xf xfId="0" fontId="5" numFmtId="173" fillId="2" borderId="0" applyFont="1" applyNumberFormat="1" applyFill="1" applyBorder="0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left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82</xdr:row>
      <xdr:rowOff>104775</xdr:rowOff>
    </xdr:from>
    <xdr:to>
      <xdr:col>8</xdr:col>
      <xdr:colOff>504825</xdr:colOff>
      <xdr:row>100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1"/>
      <c r="C2" s="41"/>
      <c r="E2" s="52"/>
      <c r="F2" s="52"/>
      <c r="G2" s="52"/>
      <c r="H2" s="52"/>
      <c r="I2" s="52"/>
      <c r="J2" s="52"/>
      <c r="K2" s="52"/>
      <c r="L2" s="52"/>
    </row>
    <row r="3" spans="1:14" customHeight="1" ht="26.25">
      <c r="B3" s="41"/>
      <c r="C3" s="41"/>
      <c r="E3" s="59" t="s">
        <v>0</v>
      </c>
      <c r="F3" s="59"/>
      <c r="G3" s="59"/>
      <c r="H3" s="59"/>
      <c r="I3" s="59"/>
      <c r="J3" s="59"/>
    </row>
    <row r="4" spans="1:14" customHeight="1" ht="26.25">
      <c r="B4" s="41"/>
      <c r="C4" s="41"/>
      <c r="E4" s="60" t="s">
        <v>1</v>
      </c>
      <c r="F4" s="60"/>
      <c r="G4" s="60"/>
      <c r="H4" s="60"/>
      <c r="I4" s="60"/>
      <c r="J4" s="60"/>
      <c r="K4" s="11"/>
    </row>
    <row r="5" spans="1:14">
      <c r="B5" s="41"/>
      <c r="C5" s="41"/>
      <c r="D5" s="38"/>
    </row>
    <row r="6" spans="1:14">
      <c r="B6" s="41"/>
      <c r="C6" s="41"/>
      <c r="D6" s="24"/>
      <c r="F6" s="24"/>
      <c r="G6" s="24"/>
      <c r="H6" s="24"/>
    </row>
    <row r="7" spans="1:14">
      <c r="A7" s="41"/>
      <c r="B7" s="41"/>
      <c r="C7" s="41"/>
      <c r="E7" s="68" t="s">
        <v>2</v>
      </c>
      <c r="F7" s="68"/>
      <c r="G7" s="68"/>
      <c r="I7" s="41"/>
      <c r="J7" s="41"/>
      <c r="K7" s="41"/>
      <c r="L7" s="41"/>
    </row>
    <row r="8" spans="1:14">
      <c r="B8" s="6" t="s">
        <v>3</v>
      </c>
      <c r="C8" s="99" t="s">
        <v>4</v>
      </c>
      <c r="D8" s="36"/>
      <c r="E8" s="21" t="s">
        <v>5</v>
      </c>
      <c r="F8" s="72" t="s">
        <v>6</v>
      </c>
      <c r="G8" s="73"/>
      <c r="H8" s="35"/>
      <c r="I8" s="1" t="s">
        <v>7</v>
      </c>
      <c r="J8" s="64">
        <f>+'2'!F7</f>
        <v>0</v>
      </c>
      <c r="K8" s="64"/>
      <c r="L8" s="64"/>
    </row>
    <row r="9" spans="1:14">
      <c r="B9" s="6" t="s">
        <v>8</v>
      </c>
      <c r="C9" s="15"/>
      <c r="D9" s="36"/>
      <c r="E9" s="22" t="s">
        <v>9</v>
      </c>
      <c r="F9" s="69">
        <f>+TODAY()</f>
        <v>45969</v>
      </c>
      <c r="G9" s="70"/>
      <c r="H9" s="35"/>
      <c r="I9" s="1" t="s">
        <v>10</v>
      </c>
      <c r="J9" s="98" t="s">
        <v>11</v>
      </c>
      <c r="K9" s="67"/>
      <c r="L9" s="67"/>
    </row>
    <row r="10" spans="1:14">
      <c r="B10" s="6" t="s">
        <v>12</v>
      </c>
      <c r="C10" s="15">
        <v>10716327499</v>
      </c>
      <c r="D10" s="36"/>
      <c r="E10" s="26" t="s">
        <v>13</v>
      </c>
      <c r="F10" s="52" t="s">
        <v>14</v>
      </c>
      <c r="G10" s="71"/>
      <c r="H10" s="35"/>
      <c r="I10" s="1" t="s">
        <v>15</v>
      </c>
      <c r="J10" s="65"/>
      <c r="K10" s="98"/>
      <c r="L10" s="65"/>
    </row>
    <row r="11" spans="1:14">
      <c r="B11" s="6" t="s">
        <v>16</v>
      </c>
      <c r="C11" s="16">
        <v>51953354629</v>
      </c>
      <c r="D11" s="37"/>
      <c r="E11" s="23" t="s">
        <v>17</v>
      </c>
      <c r="F11" s="54" t="s">
        <v>18</v>
      </c>
      <c r="G11" s="66"/>
      <c r="H11" s="35"/>
      <c r="I11" s="1" t="s">
        <v>19</v>
      </c>
      <c r="J11" s="97">
        <f>'2'!E7</f>
        <v>0.25</v>
      </c>
      <c r="K11" s="47"/>
      <c r="L11" s="47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56" t="s">
        <v>20</v>
      </c>
      <c r="C13" s="56"/>
      <c r="D13" s="56"/>
      <c r="E13" s="56"/>
      <c r="F13" s="56"/>
      <c r="G13" s="56"/>
      <c r="H13" s="56"/>
      <c r="I13" s="56"/>
      <c r="J13" s="56"/>
      <c r="K13" s="8" t="s">
        <v>21</v>
      </c>
      <c r="L13" s="8" t="s">
        <v>22</v>
      </c>
    </row>
    <row r="14" spans="1:14">
      <c r="B14" s="39" t="s">
        <v>23</v>
      </c>
      <c r="C14" s="39"/>
      <c r="D14" s="39"/>
      <c r="E14" s="39"/>
      <c r="F14" s="39"/>
      <c r="G14" s="39"/>
      <c r="H14" s="39"/>
      <c r="I14" s="39"/>
      <c r="J14" s="39"/>
      <c r="K14" s="13">
        <f>'2'!E11</f>
        <v>4081.4</v>
      </c>
      <c r="L14" s="7" t="s">
        <v>24</v>
      </c>
    </row>
    <row r="15" spans="1:14">
      <c r="B15" s="57" t="s">
        <v>25</v>
      </c>
      <c r="C15" s="57"/>
      <c r="D15" s="57"/>
      <c r="E15" s="57"/>
      <c r="F15" s="57"/>
      <c r="G15" s="57"/>
      <c r="H15" s="57"/>
      <c r="I15" s="57"/>
      <c r="J15" s="57"/>
      <c r="K15" s="14">
        <f>'2'!E14 + '2'!E17</f>
        <v>218</v>
      </c>
      <c r="L15" s="10" t="s">
        <v>24</v>
      </c>
    </row>
    <row r="16" spans="1:14">
      <c r="B16" s="53" t="s">
        <v>26</v>
      </c>
      <c r="C16" s="53"/>
      <c r="D16" s="53"/>
      <c r="E16" s="53"/>
      <c r="F16" s="53"/>
      <c r="G16" s="53"/>
      <c r="H16" s="53"/>
      <c r="I16" s="53"/>
      <c r="J16" s="53"/>
      <c r="K16" s="13">
        <f>SUM(K14:K15)</f>
        <v>4299.4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49" t="s">
        <v>27</v>
      </c>
      <c r="C19" s="49"/>
      <c r="D19" s="49"/>
      <c r="E19" s="49"/>
      <c r="F19" s="49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42" t="s">
        <v>29</v>
      </c>
      <c r="C20" s="42"/>
      <c r="D20" s="42"/>
      <c r="E20" s="42"/>
      <c r="F20" s="42"/>
      <c r="G20" s="42"/>
      <c r="H20" s="42"/>
      <c r="I20" s="42"/>
      <c r="J20" s="19">
        <f>MAX('2'!C27:C27)</f>
        <v>0</v>
      </c>
      <c r="K20" s="13">
        <f>'2'!E28</f>
        <v>0</v>
      </c>
      <c r="L20" s="7" t="s">
        <v>24</v>
      </c>
      <c r="N20" t="s">
        <v>86</v>
      </c>
    </row>
    <row r="21" spans="1:14">
      <c r="B21" s="42" t="s">
        <v>30</v>
      </c>
      <c r="C21" s="42"/>
      <c r="D21" s="42"/>
      <c r="E21" s="42"/>
      <c r="F21" s="42"/>
      <c r="G21" s="42"/>
      <c r="H21" s="42"/>
      <c r="I21" s="42"/>
      <c r="J21" s="19">
        <v>0.16</v>
      </c>
      <c r="K21" s="13">
        <f>'2'!E29</f>
        <v>687.904</v>
      </c>
      <c r="L21" s="7" t="s">
        <v>24</v>
      </c>
    </row>
    <row r="22" spans="1:14">
      <c r="B22" s="54" t="s">
        <v>31</v>
      </c>
      <c r="C22" s="54"/>
      <c r="D22" s="54"/>
      <c r="E22" s="54"/>
      <c r="F22" s="54"/>
      <c r="G22" s="54"/>
      <c r="H22" s="54"/>
      <c r="I22" s="54"/>
      <c r="J22" s="19">
        <v>0.02</v>
      </c>
      <c r="K22" s="13">
        <f>'2'!E30</f>
        <v>85.988</v>
      </c>
      <c r="L22" s="7" t="s">
        <v>24</v>
      </c>
    </row>
    <row r="23" spans="1:14">
      <c r="B23" s="53" t="s">
        <v>32</v>
      </c>
      <c r="C23" s="53"/>
      <c r="D23" s="53"/>
      <c r="E23" s="53"/>
      <c r="F23" s="53"/>
      <c r="G23" s="53"/>
      <c r="H23" s="53"/>
      <c r="I23" s="53"/>
      <c r="J23" s="29"/>
      <c r="K23" s="30">
        <f>SUM(K20:K22)</f>
        <v>773.892</v>
      </c>
      <c r="L23" s="29" t="s">
        <v>24</v>
      </c>
    </row>
    <row r="24" spans="1:14">
      <c r="B24" s="42"/>
      <c r="C24" s="42"/>
      <c r="D24" s="42"/>
      <c r="E24" s="42"/>
      <c r="F24" s="42"/>
      <c r="G24" s="42"/>
      <c r="H24" s="42"/>
      <c r="I24" s="42"/>
      <c r="J24" s="2"/>
      <c r="K24" s="9"/>
      <c r="L24" s="7"/>
    </row>
    <row r="25" spans="1:14">
      <c r="B25" s="54" t="s">
        <v>33</v>
      </c>
      <c r="C25" s="54"/>
      <c r="D25" s="54"/>
      <c r="E25" s="54"/>
      <c r="F25" s="54"/>
      <c r="G25" s="54"/>
      <c r="H25" s="54"/>
      <c r="I25" s="54"/>
      <c r="J25" s="20" t="s">
        <v>34</v>
      </c>
      <c r="K25" s="14">
        <f>'2'!E31</f>
        <v>177.56522</v>
      </c>
      <c r="L25" s="10" t="s">
        <v>24</v>
      </c>
    </row>
    <row r="26" spans="1:14">
      <c r="B26" s="53" t="s">
        <v>35</v>
      </c>
      <c r="C26" s="53"/>
      <c r="D26" s="53"/>
      <c r="E26" s="53"/>
      <c r="F26" s="53"/>
      <c r="G26" s="53"/>
      <c r="H26" s="53"/>
      <c r="I26" s="53"/>
      <c r="K26" s="13">
        <f>K23+K25</f>
        <v>951.45722</v>
      </c>
      <c r="L26" s="7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75">
      <c r="B28" s="75" t="s">
        <v>36</v>
      </c>
      <c r="C28" s="75"/>
      <c r="D28" s="75"/>
      <c r="E28" s="75"/>
      <c r="F28" s="75"/>
      <c r="G28" s="75"/>
      <c r="H28" s="75"/>
      <c r="I28" s="75"/>
      <c r="J28" s="75"/>
      <c r="K28" s="27" t="s">
        <v>21</v>
      </c>
      <c r="L28" s="27" t="s">
        <v>22</v>
      </c>
    </row>
    <row r="29" spans="1:14">
      <c r="B29" s="42" t="s">
        <v>37</v>
      </c>
      <c r="C29" s="42"/>
      <c r="D29" s="42"/>
      <c r="E29" s="42"/>
      <c r="F29" s="42"/>
      <c r="G29" s="42"/>
      <c r="H29" s="42"/>
      <c r="I29" s="42"/>
      <c r="J29" s="42"/>
      <c r="K29" s="13">
        <f>K14</f>
        <v>4081.4</v>
      </c>
      <c r="L29" s="7" t="s">
        <v>24</v>
      </c>
    </row>
    <row r="30" spans="1:14">
      <c r="B30" s="42" t="s">
        <v>38</v>
      </c>
      <c r="C30" s="42"/>
      <c r="D30" s="42"/>
      <c r="E30" s="42"/>
      <c r="F30" s="42"/>
      <c r="G30" s="42"/>
      <c r="H30" s="42"/>
      <c r="I30" s="42"/>
      <c r="J30" s="42"/>
      <c r="K30" s="13">
        <f>IF(J11&lt;1, '2'!I7, '2'!I7*J11)</f>
        <v>280</v>
      </c>
      <c r="L30" s="7" t="s">
        <v>24</v>
      </c>
    </row>
    <row r="31" spans="1:14">
      <c r="B31" s="54" t="s">
        <v>39</v>
      </c>
      <c r="C31" s="54"/>
      <c r="D31" s="54"/>
      <c r="E31" s="54"/>
      <c r="F31" s="54"/>
      <c r="G31" s="54"/>
      <c r="H31" s="54"/>
      <c r="I31" s="54"/>
      <c r="J31" s="54"/>
      <c r="K31" s="14">
        <f>K26</f>
        <v>951.45722</v>
      </c>
      <c r="L31" s="10" t="s">
        <v>24</v>
      </c>
    </row>
    <row r="32" spans="1:14">
      <c r="B32" s="53" t="s">
        <v>40</v>
      </c>
      <c r="C32" s="53"/>
      <c r="D32" s="53"/>
      <c r="E32" s="53"/>
      <c r="F32" s="53"/>
      <c r="G32" s="53"/>
      <c r="H32" s="53"/>
      <c r="I32" s="53"/>
      <c r="J32" s="53"/>
      <c r="K32" s="13">
        <f>SUM(K29:K31)</f>
        <v>5312.85722</v>
      </c>
      <c r="L32" s="7" t="s">
        <v>24</v>
      </c>
    </row>
    <row r="33" spans="1:14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</row>
    <row r="34" spans="1:14">
      <c r="B34" s="61" t="s">
        <v>41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8" t="s">
        <v>42</v>
      </c>
      <c r="C35" s="44" t="s">
        <v>43</v>
      </c>
      <c r="D35" s="45"/>
      <c r="E35" s="46"/>
      <c r="F35" s="4" t="s">
        <v>44</v>
      </c>
      <c r="G35" s="44" t="s">
        <v>45</v>
      </c>
      <c r="H35" s="46"/>
      <c r="I35" s="3" t="s">
        <v>46</v>
      </c>
      <c r="J35" s="25" t="s">
        <v>35</v>
      </c>
      <c r="K35" s="51" t="s">
        <v>47</v>
      </c>
      <c r="L35" s="51"/>
    </row>
    <row r="36" spans="1:14">
      <c r="A36" s="1"/>
      <c r="B36" s="89">
        <v>1</v>
      </c>
      <c r="C36" s="89" t="s">
        <v>48</v>
      </c>
      <c r="D36" s="89"/>
      <c r="E36" s="89"/>
      <c r="F36" s="89">
        <f>'2'!C10</f>
        <v>3120</v>
      </c>
      <c r="G36" s="91">
        <f>'2'!C8</f>
        <v>1.22</v>
      </c>
      <c r="H36" s="92"/>
      <c r="I36" s="91">
        <f>'2'!C46</f>
        <v>1.5881035449601</v>
      </c>
      <c r="J36" s="91">
        <f>'2'!C44</f>
        <v>4954.8830602754</v>
      </c>
      <c r="K36" s="90">
        <f>'2'!C47</f>
        <v>5.8759831163522</v>
      </c>
      <c r="L36" s="51"/>
    </row>
    <row r="37" spans="1:14" customHeight="1" ht="15.75">
      <c r="A37"/>
      <c r="B37" s="89">
        <v>2</v>
      </c>
      <c r="C37" s="89" t="s">
        <v>49</v>
      </c>
      <c r="D37" s="89"/>
      <c r="E37" s="89"/>
      <c r="F37" s="89">
        <f>'2'!D10</f>
        <v>500</v>
      </c>
      <c r="G37" s="91">
        <f>'2'!D8</f>
        <v>0.55</v>
      </c>
      <c r="H37" s="89"/>
      <c r="I37" s="93">
        <f>'2'!D46</f>
        <v>0.71594831944921</v>
      </c>
      <c r="J37" s="91">
        <f>'2'!D44</f>
        <v>357.9741597246</v>
      </c>
      <c r="K37" s="90">
        <f>'2'!D47</f>
        <v>2.6490087819621</v>
      </c>
      <c r="L37" s="94"/>
    </row>
    <row r="38" spans="1:14" customHeight="1" ht="15.75">
      <c r="A38"/>
      <c r="B38" s="12" t="s">
        <v>35</v>
      </c>
      <c r="C38" s="2"/>
      <c r="D38" s="2"/>
      <c r="E38" s="2"/>
      <c r="F38" s="12">
        <f>SUM(F36:F37)</f>
        <v>3620</v>
      </c>
      <c r="G38" s="2"/>
      <c r="H38" s="2"/>
      <c r="I38"/>
      <c r="J38" s="95">
        <f>SUM(J36:J37)</f>
        <v>5312.85722</v>
      </c>
      <c r="K38" s="31"/>
      <c r="L38" s="96"/>
    </row>
    <row r="39" spans="1:14">
      <c r="A39" s="1"/>
      <c r="B39" s="5"/>
      <c r="C39" s="5"/>
      <c r="D39" s="5"/>
      <c r="E39" s="5"/>
      <c r="F39" s="5"/>
      <c r="G39" s="5"/>
      <c r="H39" s="5"/>
      <c r="I39" s="5"/>
      <c r="J39" s="5"/>
      <c r="K39" s="32"/>
      <c r="L39" s="33"/>
    </row>
    <row r="40" spans="1:14" customHeight="1" ht="18.75">
      <c r="B40" s="28" t="s">
        <v>50</v>
      </c>
      <c r="C40" s="5"/>
      <c r="D40" s="5"/>
      <c r="E40" s="5"/>
      <c r="F40" s="5"/>
      <c r="G40" s="5"/>
      <c r="H40" s="5"/>
      <c r="I40" s="5"/>
      <c r="J40" s="5"/>
      <c r="K40" s="5"/>
    </row>
    <row r="41" spans="1:14" customHeight="1" ht="18.75">
      <c r="B41" s="43" t="s">
        <v>51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4" customHeight="1" ht="18.75">
      <c r="B42" s="43" t="s">
        <v>52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4" customHeight="1" ht="18.75">
      <c r="B43" s="43" t="s">
        <v>53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4" customHeight="1" ht="18.75">
      <c r="B44" s="43" t="s">
        <v>54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4" customHeight="1" ht="18.75">
      <c r="B45" s="43" t="s">
        <v>55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4" customHeight="1" ht="9">
      <c r="B47" s="41"/>
      <c r="C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4" customHeight="1" ht="31.9">
      <c r="B48" s="41"/>
      <c r="C48" s="41"/>
      <c r="D48" s="55" t="s">
        <v>0</v>
      </c>
      <c r="E48" s="55"/>
      <c r="F48" s="55"/>
      <c r="G48" s="55"/>
      <c r="H48" s="55"/>
      <c r="I48" s="55"/>
      <c r="J48" s="55"/>
      <c r="K48" s="55"/>
      <c r="L48" s="55"/>
      <c r="M48" s="55"/>
    </row>
    <row r="49" spans="1:14" customHeight="1" ht="21">
      <c r="B49" s="41"/>
      <c r="C49" s="41"/>
      <c r="D49" s="58" t="s">
        <v>56</v>
      </c>
      <c r="E49" s="58"/>
      <c r="F49" s="58"/>
      <c r="G49" s="58"/>
      <c r="H49" s="58"/>
      <c r="I49" s="58"/>
    </row>
    <row r="50" spans="1:14">
      <c r="B50" s="41"/>
      <c r="C50" s="41"/>
    </row>
    <row r="51" spans="1:14">
      <c r="B51" s="41"/>
      <c r="C51" s="41"/>
    </row>
    <row r="52" spans="1:14" customHeight="1" ht="21">
      <c r="B52" s="50" t="s">
        <v>57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4" spans="1:14">
      <c r="B54" s="40" t="s">
        <v>58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4">
      <c r="B55" s="40" t="s">
        <v>59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4">
      <c r="B56" s="42" t="s">
        <v>60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4">
      <c r="B57" s="40" t="s">
        <v>61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4">
      <c r="B58" s="40" t="s">
        <v>62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4">
      <c r="B59" s="42" t="s">
        <v>63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4">
      <c r="B60" s="40" t="s">
        <v>64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4">
      <c r="B61" s="40" t="s">
        <v>65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4">
      <c r="B62" s="40" t="s">
        <v>66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4">
      <c r="B63" s="40" t="s">
        <v>67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4">
      <c r="B64" s="40" t="s">
        <v>68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4">
      <c r="B65" s="40" t="s">
        <v>69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4">
      <c r="B66" s="40" t="s">
        <v>70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4">
      <c r="B67" s="40" t="s">
        <v>71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4">
      <c r="B68" s="40" t="s">
        <v>72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4">
      <c r="B69" s="40" t="s">
        <v>73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4">
      <c r="B70" s="40" t="s">
        <v>74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4">
      <c r="B71" s="39" t="s">
        <v>75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4">
      <c r="B72" s="40" t="s">
        <v>76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4">
      <c r="B73" s="39" t="s">
        <v>77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4">
      <c r="B74" s="40" t="s">
        <v>78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4">
      <c r="B75" s="40" t="s">
        <v>79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4">
      <c r="B76" s="40" t="s">
        <v>80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4">
      <c r="B77" s="40" t="s">
        <v>81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4">
      <c r="B78" s="40" t="s">
        <v>82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4">
      <c r="A79" s="34"/>
      <c r="B79" s="48" t="s">
        <v>83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 spans="1:14">
      <c r="A80" s="34"/>
      <c r="B80" s="40" t="s">
        <v>84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4">
      <c r="A81" s="34"/>
      <c r="B81" s="48" t="s">
        <v>85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3" spans="1:14">
      <c r="C83" s="41"/>
      <c r="D83" s="41"/>
      <c r="E83" s="41"/>
      <c r="F83" s="41"/>
      <c r="G83" s="41"/>
      <c r="H83" s="41"/>
      <c r="I83" s="41"/>
    </row>
    <row r="84" spans="1:14">
      <c r="C84" s="41"/>
      <c r="D84" s="41"/>
      <c r="E84" s="41"/>
      <c r="F84" s="41"/>
      <c r="G84" s="41"/>
      <c r="H84" s="41"/>
      <c r="I84" s="41"/>
    </row>
    <row r="85" spans="1:14">
      <c r="C85" s="41"/>
      <c r="D85" s="41"/>
      <c r="E85" s="41"/>
      <c r="F85" s="41"/>
      <c r="G85" s="41"/>
      <c r="H85" s="41"/>
      <c r="I85" s="41"/>
    </row>
    <row r="86" spans="1:14">
      <c r="C86" s="41"/>
      <c r="D86" s="41"/>
      <c r="E86" s="41"/>
      <c r="F86" s="41"/>
      <c r="G86" s="41"/>
      <c r="H86" s="41"/>
      <c r="I86" s="41"/>
    </row>
    <row r="87" spans="1:14">
      <c r="C87" s="41"/>
      <c r="D87" s="41"/>
      <c r="E87" s="41"/>
      <c r="F87" s="41"/>
      <c r="G87" s="41"/>
      <c r="H87" s="41"/>
      <c r="I87" s="41"/>
    </row>
    <row r="88" spans="1:14">
      <c r="C88" s="41"/>
      <c r="D88" s="41"/>
      <c r="E88" s="41"/>
      <c r="F88" s="41"/>
      <c r="G88" s="41"/>
      <c r="H88" s="41"/>
      <c r="I88" s="41"/>
    </row>
    <row r="89" spans="1:14">
      <c r="C89" s="41"/>
      <c r="D89" s="41"/>
      <c r="E89" s="41"/>
      <c r="F89" s="41"/>
      <c r="G89" s="41"/>
      <c r="H89" s="41"/>
      <c r="I89" s="41"/>
    </row>
    <row r="90" spans="1:14" customHeight="1" ht="15.6">
      <c r="C90" s="41"/>
      <c r="D90" s="41"/>
      <c r="E90" s="41"/>
      <c r="F90" s="41"/>
      <c r="G90" s="41"/>
      <c r="H90" s="41"/>
      <c r="I90" s="41"/>
    </row>
    <row r="91" spans="1:14" customHeight="1" ht="15.6">
      <c r="C91" s="41"/>
      <c r="D91" s="41"/>
      <c r="E91" s="41"/>
      <c r="F91" s="41"/>
      <c r="G91" s="41"/>
      <c r="H91" s="41"/>
      <c r="I91" s="41"/>
    </row>
    <row r="92" spans="1:14">
      <c r="C92" s="41"/>
      <c r="D92" s="41"/>
      <c r="E92" s="41"/>
      <c r="F92" s="41"/>
      <c r="G92" s="41"/>
      <c r="H92" s="41"/>
      <c r="I92" s="41"/>
    </row>
    <row r="98" spans="1:14" customHeight="1" ht="15.6"/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3:I92"/>
    <mergeCell ref="A1:L1"/>
    <mergeCell ref="E2:L2"/>
    <mergeCell ref="D49:I4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4:L44"/>
    <mergeCell ref="B42:L42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2:L52"/>
    <mergeCell ref="B43:L43"/>
    <mergeCell ref="D48:J48"/>
    <mergeCell ref="K48:M48"/>
    <mergeCell ref="E47:M47"/>
    <mergeCell ref="K35:L35"/>
    <mergeCell ref="B78:L78"/>
    <mergeCell ref="B73:L73"/>
    <mergeCell ref="B74:L74"/>
    <mergeCell ref="B75:L75"/>
    <mergeCell ref="B76:L76"/>
    <mergeCell ref="B77:L77"/>
    <mergeCell ref="B81:L81"/>
    <mergeCell ref="B64:L64"/>
    <mergeCell ref="B65:L65"/>
    <mergeCell ref="B66:L66"/>
    <mergeCell ref="B57:L57"/>
    <mergeCell ref="B58:L58"/>
    <mergeCell ref="B59:L59"/>
    <mergeCell ref="B60:L60"/>
    <mergeCell ref="B61:L61"/>
    <mergeCell ref="B62:L62"/>
    <mergeCell ref="B63:L63"/>
    <mergeCell ref="B68:L68"/>
    <mergeCell ref="B69:L69"/>
    <mergeCell ref="B70:L70"/>
    <mergeCell ref="B80:L80"/>
    <mergeCell ref="B79:L79"/>
    <mergeCell ref="B71:L71"/>
    <mergeCell ref="B72:L72"/>
    <mergeCell ref="A7:C7"/>
    <mergeCell ref="I7:L7"/>
    <mergeCell ref="B56:L56"/>
    <mergeCell ref="B45:L45"/>
    <mergeCell ref="B41:L41"/>
    <mergeCell ref="B54:L54"/>
    <mergeCell ref="B67:L67"/>
    <mergeCell ref="B55:L55"/>
    <mergeCell ref="J11:L11"/>
    <mergeCell ref="B47:C51"/>
    <mergeCell ref="B19:F19"/>
    <mergeCell ref="C37:E37"/>
    <mergeCell ref="G37:H37"/>
    <mergeCell ref="K37:L37"/>
    <mergeCell ref="B38:E38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6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21.138" bestFit="true" customWidth="true" style="0"/>
    <col min="4" max="4" width="30.564" bestFit="true" customWidth="true" style="0"/>
    <col min="5" max="5" width="11.711" bestFit="true" customWidth="true" style="0"/>
  </cols>
  <sheetData>
    <row r="3" spans="1:9">
      <c r="B3" s="76" t="s">
        <v>87</v>
      </c>
      <c r="C3"/>
      <c r="D3"/>
      <c r="E3"/>
      <c r="F3"/>
      <c r="G3"/>
    </row>
    <row r="5" spans="1:9">
      <c r="B5" s="78" t="s">
        <v>88</v>
      </c>
      <c r="C5" s="77" t="s">
        <v>48</v>
      </c>
      <c r="D5" s="77" t="s">
        <v>49</v>
      </c>
      <c r="E5" s="77" t="s">
        <v>105</v>
      </c>
    </row>
    <row r="6" spans="1:9">
      <c r="B6" t="s">
        <v>89</v>
      </c>
      <c r="C6">
        <v>0</v>
      </c>
      <c r="D6">
        <v>0</v>
      </c>
      <c r="E6" s="83">
        <v>441.9</v>
      </c>
      <c r="H6" s="81" t="s">
        <v>103</v>
      </c>
      <c r="I6" s="81" t="s">
        <v>104</v>
      </c>
    </row>
    <row r="7" spans="1:9">
      <c r="B7" t="s">
        <v>90</v>
      </c>
      <c r="C7">
        <v>0</v>
      </c>
      <c r="D7">
        <v>0</v>
      </c>
      <c r="E7" s="84">
        <v>0.25</v>
      </c>
      <c r="H7" s="82" t="s">
        <v>18</v>
      </c>
      <c r="I7" s="82">
        <v>280</v>
      </c>
    </row>
    <row r="8" spans="1:9">
      <c r="B8" t="s">
        <v>91</v>
      </c>
      <c r="C8" s="80">
        <v>1.22</v>
      </c>
      <c r="D8" s="80">
        <v>0.55</v>
      </c>
      <c r="E8"/>
    </row>
    <row r="9" spans="1:9">
      <c r="B9" s="79" t="s">
        <v>92</v>
      </c>
      <c r="C9" s="80">
        <v>0.0</v>
      </c>
      <c r="D9" s="80">
        <v>0.0</v>
      </c>
      <c r="E9"/>
    </row>
    <row r="10" spans="1:9">
      <c r="B10" t="s">
        <v>93</v>
      </c>
      <c r="C10">
        <v>3120.0</v>
      </c>
      <c r="D10">
        <v>500.0</v>
      </c>
      <c r="E10">
        <f>SUM(C10:D10)</f>
        <v>3620</v>
      </c>
    </row>
    <row r="11" spans="1:9">
      <c r="B11" t="s">
        <v>94</v>
      </c>
      <c r="C11" s="80">
        <f>C8*C10</f>
        <v>3806.4</v>
      </c>
      <c r="D11" s="80">
        <f>D8*D10</f>
        <v>275</v>
      </c>
      <c r="E11" s="88">
        <f>SUM(C11:D11)</f>
        <v>4081.4</v>
      </c>
    </row>
    <row r="12" spans="1:9">
      <c r="B12" s="79" t="s">
        <v>95</v>
      </c>
      <c r="C12" s="80">
        <f>C10*C9</f>
        <v>0</v>
      </c>
      <c r="D12" s="80">
        <f>D10*D9</f>
        <v>0</v>
      </c>
      <c r="E12" s="88">
        <f>SUM(C12:D12)</f>
        <v>0</v>
      </c>
    </row>
    <row r="13" spans="1:9">
      <c r="B13" t="s">
        <v>96</v>
      </c>
      <c r="C13" s="85">
        <f>C11/E11</f>
        <v>0.93262115940609</v>
      </c>
      <c r="D13" s="85">
        <f>D11/E11</f>
        <v>0.067378840593914</v>
      </c>
      <c r="E13"/>
    </row>
    <row r="14" spans="1:9">
      <c r="B14" t="s">
        <v>97</v>
      </c>
      <c r="C14" s="80">
        <f>E14*C13</f>
        <v>156.68035478022</v>
      </c>
      <c r="D14" s="80">
        <f>E14*D13</f>
        <v>11.319645219778</v>
      </c>
      <c r="E14" s="88">
        <f>IF(E7&lt;1, I7*0.6, I7*0.6*E7)</f>
        <v>168</v>
      </c>
    </row>
    <row r="15" spans="1:9">
      <c r="B15" t="s">
        <v>98</v>
      </c>
      <c r="C15" s="80">
        <f>C11+C14</f>
        <v>3963.0803547802</v>
      </c>
      <c r="D15" s="80">
        <f>D11+D14</f>
        <v>286.31964521978</v>
      </c>
      <c r="E15" s="88">
        <f>SUM(C15:D15)</f>
        <v>4249.4</v>
      </c>
    </row>
    <row r="16" spans="1:9">
      <c r="B16" s="79" t="s">
        <v>99</v>
      </c>
      <c r="C16" s="80">
        <f>C12+C14</f>
        <v>156.68035478022</v>
      </c>
      <c r="D16" s="80">
        <f>D12+D14</f>
        <v>11.319645219778</v>
      </c>
      <c r="E16" s="88">
        <f>SUM(C16:D16)</f>
        <v>168</v>
      </c>
    </row>
    <row r="17" spans="1:9">
      <c r="B17" t="s">
        <v>100</v>
      </c>
      <c r="C17" s="80">
        <f>IF(E11&gt;5000,100*C13,50*C13)</f>
        <v>46.631057970304</v>
      </c>
      <c r="D17" s="80">
        <f>IF(E11&gt;5000,100*D13,50*D13)</f>
        <v>3.3689420296957</v>
      </c>
      <c r="E17" s="88">
        <f>SUM(C17:D17)</f>
        <v>50</v>
      </c>
    </row>
    <row r="18" spans="1:9">
      <c r="B18" t="s">
        <v>101</v>
      </c>
      <c r="C18" s="80">
        <f>C15+C17</f>
        <v>4009.7114127505</v>
      </c>
      <c r="D18" s="80">
        <f>D15+D17</f>
        <v>289.68858724947</v>
      </c>
      <c r="E18" s="88">
        <f>SUM(C18:D18)</f>
        <v>4299.4</v>
      </c>
    </row>
    <row r="19" spans="1:9">
      <c r="B19" s="79" t="s">
        <v>102</v>
      </c>
      <c r="C19" s="80">
        <f>C16+C17</f>
        <v>203.31141275053</v>
      </c>
      <c r="D19" s="80">
        <f>D16+D17</f>
        <v>14.688587249473</v>
      </c>
      <c r="E19" s="88">
        <f>SUM(C19:D19)</f>
        <v>218</v>
      </c>
    </row>
    <row r="23" spans="1:9">
      <c r="B23" s="76" t="s">
        <v>112</v>
      </c>
      <c r="C23"/>
      <c r="D23"/>
      <c r="E23"/>
    </row>
    <row r="26" spans="1:9">
      <c r="B26" t="s">
        <v>113</v>
      </c>
      <c r="C26" s="80">
        <v>0</v>
      </c>
      <c r="D26" s="80">
        <v>0</v>
      </c>
      <c r="E26" s="80">
        <f>SUM(C26:D26)</f>
        <v>0</v>
      </c>
    </row>
    <row r="27" spans="1:9">
      <c r="C27" s="86">
        <v>0.0</v>
      </c>
      <c r="D27" s="86">
        <v>0.0</v>
      </c>
      <c r="E27" s="85">
        <f>SUM(C27:D27)</f>
        <v>0</v>
      </c>
    </row>
    <row r="28" spans="1:9">
      <c r="B28" t="s">
        <v>106</v>
      </c>
      <c r="C28" s="80">
        <f>MAX(C19,C18)*C27</f>
        <v>0</v>
      </c>
      <c r="D28" s="80">
        <f>MAX(D19,D18)*D27</f>
        <v>0</v>
      </c>
      <c r="E28" s="80">
        <f>SUM(C28:D28)</f>
        <v>0</v>
      </c>
    </row>
    <row r="29" spans="1:9">
      <c r="B29" t="s">
        <v>30</v>
      </c>
      <c r="C29" s="80">
        <f>0.16*(MAX(C19,C18)+C28)</f>
        <v>641.55382604008</v>
      </c>
      <c r="D29" s="80">
        <f>0.16*(MAX(D19,D18)+D28)</f>
        <v>46.350173959916</v>
      </c>
      <c r="E29" s="80">
        <f>SUM(C29:D29)</f>
        <v>687.904</v>
      </c>
    </row>
    <row r="30" spans="1:9">
      <c r="B30" t="s">
        <v>31</v>
      </c>
      <c r="C30" s="80">
        <f>0.02*(MAX(C19,C18)+C28)</f>
        <v>80.194228255011</v>
      </c>
      <c r="D30" s="80">
        <f>0.02*(MAX(D19,D18)+D28)</f>
        <v>5.7937717449895</v>
      </c>
      <c r="E30" s="80">
        <f>SUM(C30:D30)</f>
        <v>85.988</v>
      </c>
    </row>
    <row r="31" spans="1:9">
      <c r="B31" t="s">
        <v>107</v>
      </c>
      <c r="C31" s="80">
        <f>0.035*(MAX(C18,C19) +C28+C29+C30)</f>
        <v>165.6010813466</v>
      </c>
      <c r="D31" s="80">
        <f>0.035*(MAX(D18,D19) +D28+D29+D30)</f>
        <v>11.964138653403</v>
      </c>
      <c r="E31" s="80">
        <f>SUM(C31:D31)</f>
        <v>177.56522</v>
      </c>
    </row>
    <row r="32" spans="1:9">
      <c r="B32" t="s">
        <v>35</v>
      </c>
      <c r="C32" s="80">
        <f>SUM(C28:C31)</f>
        <v>887.34913564169</v>
      </c>
      <c r="D32" s="80">
        <f>SUM(D28:D31)</f>
        <v>64.108084358308</v>
      </c>
      <c r="E32" s="80">
        <f>SUM(E28:E31)</f>
        <v>951.45722</v>
      </c>
    </row>
    <row r="37" spans="1:9">
      <c r="B37" s="76" t="s">
        <v>114</v>
      </c>
      <c r="C37"/>
      <c r="D37"/>
      <c r="E37"/>
    </row>
    <row r="40" spans="1:9">
      <c r="B40" t="s">
        <v>108</v>
      </c>
      <c r="C40" s="80">
        <f>C13*E40</f>
        <v>104.45356985348</v>
      </c>
      <c r="D40" s="80">
        <f>D13*E40</f>
        <v>7.5464301465184</v>
      </c>
      <c r="E40" s="80">
        <f>IF(E7&lt;1, I7*0.4,I7*0.4*E7)</f>
        <v>112</v>
      </c>
    </row>
    <row r="41" spans="1:9">
      <c r="B41"/>
    </row>
    <row r="43" spans="1:9">
      <c r="B43" t="s">
        <v>108</v>
      </c>
      <c r="C43" t="s">
        <v>48</v>
      </c>
      <c r="D43" t="s">
        <v>49</v>
      </c>
      <c r="E43" t="s">
        <v>105</v>
      </c>
    </row>
    <row r="44" spans="1:9">
      <c r="B44" t="s">
        <v>109</v>
      </c>
      <c r="C44" s="80">
        <f>SUM(C15,C40,C32,(C26))</f>
        <v>4954.8830602754</v>
      </c>
      <c r="D44" s="80">
        <f>SUM(D15,D40,D32,(D26))</f>
        <v>357.9741597246</v>
      </c>
      <c r="E44" s="80">
        <f>SUM(C44:D44)</f>
        <v>5312.85722</v>
      </c>
    </row>
    <row r="45" spans="1:9">
      <c r="B45" t="s">
        <v>44</v>
      </c>
      <c r="C45">
        <v>3120.0</v>
      </c>
      <c r="D45">
        <v>500.0</v>
      </c>
      <c r="E45"/>
    </row>
    <row r="46" spans="1:9">
      <c r="B46" t="s">
        <v>110</v>
      </c>
      <c r="C46" s="80">
        <f>SUM(C44/C45)</f>
        <v>1.5881035449601</v>
      </c>
      <c r="D46" s="80">
        <f>SUM(D44/D45)</f>
        <v>0.71594831944921</v>
      </c>
      <c r="E46"/>
    </row>
    <row r="47" spans="1:9">
      <c r="B47" t="s">
        <v>111</v>
      </c>
      <c r="C47" s="87">
        <f>C46*3.7</f>
        <v>5.8759831163522</v>
      </c>
      <c r="D47" s="87">
        <f>D46*3.7</f>
        <v>2.6490087819621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