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<sst xmlns="http://schemas.openxmlformats.org/spreadsheetml/2006/main" uniqueCount="119">
  <si>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PRO MUNDO COMEX S.A.C.</t>
  </si>
  <si>
    <t xml:space="preserve">         RUC: 20612452432</t>
  </si>
  <si>
    <t>COTIZACION N002</t>
  </si>
  <si>
    <t>NOMBRE:</t>
  </si>
  <si>
    <t>CELIA ROSA CEDAMANOS VARELA</t>
  </si>
  <si>
    <t>SERVICIO:</t>
  </si>
  <si>
    <t>CARGA CONSOLIDADA</t>
  </si>
  <si>
    <t>N° CAJAS:</t>
  </si>
  <si>
    <t>APELLIDO:</t>
  </si>
  <si>
    <t>FECHA:</t>
  </si>
  <si>
    <t>PESO:</t>
  </si>
  <si>
    <t>40 Kg</t>
  </si>
  <si>
    <t>DNI/RUC:</t>
  </si>
  <si>
    <t>ORIGEN:</t>
  </si>
  <si>
    <t>CHINA</t>
  </si>
  <si>
    <t>MEDIDA:</t>
  </si>
  <si>
    <t>TELEFONO:</t>
  </si>
  <si>
    <t>51 999 699 816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</si>
  <si>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</si>
  <si>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</si>
  <si>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</si>
  <si>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</si>
  <si>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</si>
  <si>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</si>
  <si>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</si>
  <si>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</si>
  <si>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</si>
  <si>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</si>
  <si>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</si>
  <si>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</si>
  <si>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</si>
  <si>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</si>
  <si>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</si>
  <si>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</si>
  <si>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</si>
  <si>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</si>
  <si>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</si>
  <si>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</si>
  <si>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</si>
  <si>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</si>
  <si>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</si>
  <si>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</si>
  <si>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</si>
  <si>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</si>
  <si>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</si>
  <si>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</si>
  <si>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</si>
  <si>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</si>
  <si>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</si>
  <si>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FREIDORA DE AIRE DE 10L</t>
  </si>
  <si>
    <t>LICUADORA 2 EN 1 BATIDORA</t>
  </si>
  <si>
    <t>FREIDORA DE AIRE DE 15L</t>
  </si>
  <si>
    <t>ARBOL SENTETICO NAVIDEÑO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</si>
  <si>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</si>
  <si>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</si>
  <si>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</si>
  <si>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</si>
  <si>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</si>
  <si>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</si>
  <si>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</si>
  <si>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</si>
  <si>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</si>
  <si>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</si>
  <si>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</si>
  <si>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</si>
  <si>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</si>
  <si>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</si>
  <si>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</si>
  <si>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</si>
  <si>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</si>
  <si>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</si>
  <si>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</si>
  <si>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</si>
  <si>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</si>
  <si>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</si>
  <si>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</si>
  <si>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</si>
  <si>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</si>
  <si>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</si>
  <si>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</si>
  <si>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</si>
  <si>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</si>
  <si>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</si>
  <si>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</si>
  <si>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</si>
  <si>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</si>
  <si>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</si>
  <si>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</si>
  <si>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</si>
  <si>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SET DE CUBIERTOS</t>
  </si>
  <si>
    <t>Hola CELIA ROSA CEDAMANOS VARELA 😁 un gusto saludarte!
        A continuación te envío la cotización final de tu importación📋📦.
        🙋‍♂️ PAGO PENDIENTE :
        ☑️Costo CBM: $445.5
        ☑️Impuestos: $243.44
        ☑️ Total: $688.94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</si>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</sst>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45971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18008095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'2'!H7</f>
        <v>0.94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'2'!H11</f>
        <v>796.99999999999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'2'!H14 + '2'!H17</f>
        <v>275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1072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MAX('2'!C27:F27)</f>
        <v>0.06</v>
      </c>
      <c r="K20" s="12">
        <f>'2'!H28</f>
        <v>5.0842659974906</v>
      </c>
      <c r="L20" s="7" t="s">
        <v>25</v>
      </c>
      <c r="M20" s="1"/>
      <c r="N20" t="s">
        <v>90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'2'!H29</f>
        <v>172.3334825596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'2'!H30</f>
        <v>21.54168531995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198.95943387704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'2'!H31</f>
        <v>44.483580185696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243.44301406273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796.99999999999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'2'!L7, '2'!L7*J11)</f>
        <v>375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243.44301406273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1415.4430140627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10</v>
      </c>
      <c r="G36" s="88">
        <f>'2'!C8</f>
        <v>14.8</v>
      </c>
      <c r="H36" s="89"/>
      <c r="I36" s="88">
        <f>'2'!C46</f>
        <v>26.168955181932</v>
      </c>
      <c r="J36" s="88">
        <f>'2'!C44</f>
        <v>261.68955181932</v>
      </c>
      <c r="K36" s="87">
        <f>'2'!C47</f>
        <v>96.82513417315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2</v>
      </c>
      <c r="G37" s="88">
        <f>'2'!D8</f>
        <v>7.5</v>
      </c>
      <c r="H37" s="86"/>
      <c r="I37" s="90">
        <f>'2'!D46</f>
        <v>14.000510815558</v>
      </c>
      <c r="J37" s="88">
        <f>'2'!D44</f>
        <v>28.001021631117</v>
      </c>
      <c r="K37" s="87">
        <f>'2'!D47</f>
        <v>51.801890017566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6</v>
      </c>
      <c r="G38" s="88">
        <f>'2'!E8</f>
        <v>20.5</v>
      </c>
      <c r="H38" s="86"/>
      <c r="I38" s="90">
        <f>'2'!E46</f>
        <v>36.247539272271</v>
      </c>
      <c r="J38" s="88">
        <f>'2'!E44</f>
        <v>217.48523563363</v>
      </c>
      <c r="K38" s="87">
        <f>'2'!E47</f>
        <v>134.1158953074</v>
      </c>
      <c r="L38" s="91"/>
      <c r="M38"/>
    </row>
    <row r="39" spans="1:14" customHeight="1" ht="15.75">
      <c r="A39"/>
      <c r="B39" s="92">
        <v>4</v>
      </c>
      <c r="C39" s="92" t="s">
        <v>52</v>
      </c>
      <c r="D39" s="92"/>
      <c r="E39" s="92"/>
      <c r="F39" s="92">
        <f>'2'!F10</f>
        <v>2</v>
      </c>
      <c r="G39" s="93">
        <f>'2'!F8</f>
        <v>24</v>
      </c>
      <c r="H39" s="94"/>
      <c r="I39" s="93">
        <f>'2'!F46</f>
        <v>44.801634609787</v>
      </c>
      <c r="J39" s="93">
        <f>'2'!F44</f>
        <v>89.603269219574</v>
      </c>
      <c r="K39" s="95">
        <f>'2'!F47</f>
        <v>165.76604805621</v>
      </c>
      <c r="L39" s="96"/>
      <c r="M39"/>
    </row>
    <row r="40" spans="1:14" customHeight="1" ht="15.75">
      <c r="A40"/>
      <c r="B40" s="92">
        <v>5</v>
      </c>
      <c r="C40" s="92" t="s">
        <v>89</v>
      </c>
      <c r="D40" s="92"/>
      <c r="E40" s="92"/>
      <c r="F40" s="92">
        <f>'2'!G10</f>
        <v>300</v>
      </c>
      <c r="G40" s="93">
        <f>'2'!G8</f>
        <v>1.5433333333333</v>
      </c>
      <c r="H40" s="94"/>
      <c r="I40" s="93">
        <f>'2'!G46</f>
        <v>2.7288797858636</v>
      </c>
      <c r="J40" s="93">
        <f>'2'!G44</f>
        <v>818.66393575908</v>
      </c>
      <c r="K40" s="95">
        <f>'2'!G47</f>
        <v>10.096855207695</v>
      </c>
      <c r="L40" s="96"/>
      <c r="M40"/>
    </row>
    <row r="41" spans="1:14">
      <c r="A41" s="1"/>
      <c r="B41" s="97" t="s">
        <v>36</v>
      </c>
      <c r="C41" s="5"/>
      <c r="D41" s="5"/>
      <c r="E41" s="5"/>
      <c r="F41" s="97">
        <f>SUM(F36:F40)</f>
        <v>320</v>
      </c>
      <c r="G41" s="5"/>
      <c r="H41" s="5"/>
      <c r="I41" s="5"/>
      <c r="J41" s="98">
        <f>SUM(J36:J40)</f>
        <v>1415.4430140627</v>
      </c>
      <c r="K41" s="29"/>
      <c r="L41" s="30"/>
      <c r="M41" s="1"/>
    </row>
    <row r="42" spans="1:14" customHeight="1" ht="18.75">
      <c r="B42" s="99" t="s">
        <v>88</v>
      </c>
      <c r="C42" s="5"/>
      <c r="D42" s="5"/>
      <c r="E42" s="5"/>
      <c r="F42" s="5"/>
      <c r="G42" s="5"/>
      <c r="H42" s="5"/>
      <c r="I42" s="5"/>
      <c r="J42" s="5"/>
      <c r="K42" s="5"/>
      <c r="L42"/>
      <c r="M42"/>
    </row>
    <row r="43" spans="1:14" customHeight="1" ht="18.75">
      <c r="B43" s="40" t="s">
        <v>87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/>
    </row>
    <row r="44" spans="1:14" customHeight="1" ht="18.75">
      <c r="B44" s="40" t="s">
        <v>86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85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84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83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1"/>
    </row>
    <row r="49" spans="1:14" customHeight="1" ht="9">
      <c r="B49" s="38"/>
      <c r="C49" s="38"/>
      <c r="E49" s="38"/>
      <c r="F49" s="38"/>
      <c r="G49" s="38"/>
      <c r="H49" s="38"/>
      <c r="I49" s="38"/>
      <c r="J49" s="38"/>
      <c r="K49" s="38"/>
      <c r="L49" s="38"/>
      <c r="M49" s="38"/>
    </row>
    <row r="50" spans="1:14" customHeight="1" ht="31.9">
      <c r="B50" s="38"/>
      <c r="C50" s="38"/>
      <c r="D50" s="52" t="s">
        <v>0</v>
      </c>
      <c r="E50" s="52"/>
      <c r="F50" s="52"/>
      <c r="G50" s="52"/>
      <c r="H50" s="52"/>
      <c r="I50" s="52"/>
      <c r="J50" s="52"/>
      <c r="K50" s="52"/>
      <c r="L50" s="52"/>
      <c r="M50" s="52"/>
    </row>
    <row r="51" spans="1:14" customHeight="1" ht="21">
      <c r="B51" s="38"/>
      <c r="C51" s="38"/>
      <c r="D51" s="55" t="s">
        <v>82</v>
      </c>
      <c r="E51" s="55"/>
      <c r="F51" s="55"/>
      <c r="G51" s="55"/>
      <c r="H51" s="55"/>
      <c r="I51" s="55"/>
      <c r="M51"/>
    </row>
    <row r="52" spans="1:14">
      <c r="B52" s="38"/>
      <c r="C52" s="38"/>
      <c r="M52" s="1"/>
    </row>
    <row r="53" spans="1:14">
      <c r="B53" s="38"/>
      <c r="C53" s="38"/>
      <c r="M53" s="1"/>
    </row>
    <row r="54" spans="1:14" customHeight="1" ht="21">
      <c r="B54" s="47" t="s">
        <v>81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/>
    </row>
    <row r="55" spans="1:14">
      <c r="M55" s="1"/>
    </row>
    <row r="56" spans="1:14">
      <c r="B56" s="37" t="s">
        <v>80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"/>
    </row>
    <row r="57" spans="1:14">
      <c r="B57" s="37" t="s">
        <v>79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1"/>
    </row>
    <row r="58" spans="1:14">
      <c r="B58" s="39" t="s">
        <v>78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1"/>
    </row>
    <row r="59" spans="1:14">
      <c r="B59" s="37" t="s">
        <v>77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7" t="s">
        <v>76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9" t="s">
        <v>75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1"/>
    </row>
    <row r="62" spans="1:14">
      <c r="B62" s="37" t="s">
        <v>74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73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72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71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70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69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68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67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66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65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64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6" t="s">
        <v>63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1"/>
    </row>
    <row r="74" spans="1:14">
      <c r="B74" s="37" t="s">
        <v>62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6" t="s">
        <v>61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1"/>
    </row>
    <row r="76" spans="1:14">
      <c r="B76" s="37" t="s">
        <v>60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59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58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57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56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A81" s="31"/>
      <c r="B81" s="45" t="s">
        <v>55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1"/>
    </row>
    <row r="82" spans="1:14">
      <c r="A82" s="31"/>
      <c r="B82" s="37" t="s">
        <v>54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A83" s="31"/>
      <c r="B83" s="45" t="s">
        <v>53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1"/>
    </row>
    <row r="84" spans="1:14">
      <c r="M84" s="1"/>
    </row>
    <row r="85" spans="1:14">
      <c r="C85" s="38"/>
      <c r="D85" s="38"/>
      <c r="E85" s="38"/>
      <c r="F85" s="38"/>
      <c r="G85" s="38"/>
      <c r="H85" s="38"/>
      <c r="I85" s="38"/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 customHeight="1" ht="15.6">
      <c r="C92" s="38"/>
      <c r="D92" s="38"/>
      <c r="E92" s="38"/>
      <c r="F92" s="38"/>
      <c r="G92" s="38"/>
      <c r="H92" s="38"/>
      <c r="I92" s="38"/>
      <c r="M92"/>
    </row>
    <row r="93" spans="1:14" customHeight="1" ht="15.6">
      <c r="C93" s="38"/>
      <c r="D93" s="38"/>
      <c r="E93" s="38"/>
      <c r="F93" s="38"/>
      <c r="G93" s="38"/>
      <c r="H93" s="38"/>
      <c r="I93" s="38"/>
      <c r="M93"/>
    </row>
    <row r="94" spans="1:14">
      <c r="C94" s="38"/>
      <c r="D94" s="38"/>
      <c r="E94" s="38"/>
      <c r="F94" s="38"/>
      <c r="G94" s="38"/>
      <c r="H94" s="38"/>
      <c r="I94" s="38"/>
      <c r="M94" s="1"/>
    </row>
    <row r="95" spans="1:14">
      <c r="M95" s="1"/>
    </row>
    <row r="96" spans="1:14">
      <c r="M96" s="1"/>
    </row>
    <row r="97" spans="1:14">
      <c r="M97" s="1"/>
    </row>
    <row r="98" spans="1:14">
      <c r="M98" s="1"/>
    </row>
    <row r="99" spans="1:14">
      <c r="M99" s="1"/>
    </row>
    <row r="100" spans="1:14" customHeight="1" ht="15.6">
      <c r="M100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4:L54"/>
    <mergeCell ref="B45:L45"/>
    <mergeCell ref="D50:J50"/>
    <mergeCell ref="K50:M50"/>
    <mergeCell ref="E49:M49"/>
    <mergeCell ref="K35:L35"/>
    <mergeCell ref="B80:L80"/>
    <mergeCell ref="B75:L75"/>
    <mergeCell ref="B76:L76"/>
    <mergeCell ref="B77:L77"/>
    <mergeCell ref="B78:L78"/>
    <mergeCell ref="B79:L79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73:L73"/>
    <mergeCell ref="B74:L74"/>
    <mergeCell ref="A7:C7"/>
    <mergeCell ref="I7:L7"/>
    <mergeCell ref="B58:L58"/>
    <mergeCell ref="B47:L47"/>
    <mergeCell ref="B43:L43"/>
    <mergeCell ref="B56:L56"/>
    <mergeCell ref="B69:L69"/>
    <mergeCell ref="B57:L57"/>
    <mergeCell ref="J11:L11"/>
    <mergeCell ref="B49:C53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H44" sqref="H44"/>
    </sheetView>
  </sheetViews>
  <sheetFormatPr defaultRowHeight="14.4" outlineLevelRow="0" outlineLevelCol="0"/>
  <cols>
    <col min="2" max="2" width="24.708" bestFit="true" customWidth="true" style="0"/>
    <col min="3" max="3" width="28.136" bestFit="true" customWidth="true" style="0"/>
    <col min="4" max="4" width="30.564" bestFit="true" customWidth="true" style="0"/>
    <col min="5" max="5" width="28.136" bestFit="true" customWidth="true" style="0"/>
    <col min="6" max="6" width="29.421" bestFit="true" customWidth="true" style="0"/>
    <col min="7" max="7" width="19.995" bestFit="true" customWidth="true" style="0"/>
    <col min="8" max="8" width="10.569" bestFit="true" customWidth="true" style="0"/>
  </cols>
  <sheetData>
    <row r="3" spans="1:12">
      <c r="B3" s="73" t="s">
        <v>91</v>
      </c>
      <c r="C3"/>
      <c r="D3"/>
      <c r="E3"/>
      <c r="F3"/>
      <c r="G3"/>
    </row>
    <row r="5" spans="1:12">
      <c r="B5" s="75" t="s">
        <v>92</v>
      </c>
      <c r="C5" s="74" t="s">
        <v>49</v>
      </c>
      <c r="D5" s="74" t="s">
        <v>50</v>
      </c>
      <c r="E5" s="74" t="s">
        <v>51</v>
      </c>
      <c r="F5" s="74" t="s">
        <v>52</v>
      </c>
      <c r="G5" s="74" t="s">
        <v>89</v>
      </c>
      <c r="H5" s="74" t="s">
        <v>109</v>
      </c>
    </row>
    <row r="6" spans="1:12"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 s="80">
        <v>40.0</v>
      </c>
      <c r="K6" s="78" t="s">
        <v>107</v>
      </c>
      <c r="L6" s="78" t="s">
        <v>108</v>
      </c>
    </row>
    <row r="7" spans="1:12">
      <c r="B7" t="s">
        <v>94</v>
      </c>
      <c r="C7">
        <v>0</v>
      </c>
      <c r="D7">
        <v>0</v>
      </c>
      <c r="E7">
        <v>0</v>
      </c>
      <c r="F7">
        <v>0</v>
      </c>
      <c r="G7">
        <v>0</v>
      </c>
      <c r="H7" s="81">
        <v>0.94</v>
      </c>
      <c r="K7" s="79" t="s">
        <v>19</v>
      </c>
      <c r="L7" s="79">
        <v>375</v>
      </c>
    </row>
    <row r="8" spans="1:12">
      <c r="B8" t="s">
        <v>95</v>
      </c>
      <c r="C8" s="77">
        <v>14.8</v>
      </c>
      <c r="D8" s="77">
        <v>7.5</v>
      </c>
      <c r="E8" s="77">
        <v>20.5</v>
      </c>
      <c r="F8" s="77">
        <v>24.0</v>
      </c>
      <c r="G8" s="77">
        <v>1.5433333333333</v>
      </c>
      <c r="H8"/>
    </row>
    <row r="9" spans="1:12">
      <c r="B9" s="76" t="s">
        <v>96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/>
    </row>
    <row r="10" spans="1:12">
      <c r="B10" t="s">
        <v>97</v>
      </c>
      <c r="C10">
        <v>10.0</v>
      </c>
      <c r="D10">
        <v>2.0</v>
      </c>
      <c r="E10">
        <v>6.0</v>
      </c>
      <c r="F10">
        <v>2.0</v>
      </c>
      <c r="G10">
        <v>300.0</v>
      </c>
      <c r="H10">
        <f>SUM(C10:G10)</f>
        <v>320</v>
      </c>
    </row>
    <row r="11" spans="1:12">
      <c r="B11" t="s">
        <v>98</v>
      </c>
      <c r="C11" s="77">
        <f>C8*C10</f>
        <v>148</v>
      </c>
      <c r="D11" s="77">
        <f>D8*D10</f>
        <v>15</v>
      </c>
      <c r="E11" s="77">
        <f>E8*E10</f>
        <v>123</v>
      </c>
      <c r="F11" s="77">
        <f>F8*F10</f>
        <v>48</v>
      </c>
      <c r="G11" s="77">
        <f>G8*G10</f>
        <v>462.99999999999</v>
      </c>
      <c r="H11" s="85">
        <f>SUM(C11:G11)</f>
        <v>796.99999999999</v>
      </c>
    </row>
    <row r="12" spans="1:12">
      <c r="B12" s="76" t="s">
        <v>99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85">
        <f>SUM(C12:G12)</f>
        <v>0</v>
      </c>
    </row>
    <row r="13" spans="1:12">
      <c r="B13" t="s">
        <v>100</v>
      </c>
      <c r="C13" s="82">
        <f>C11/H11</f>
        <v>0.18569636135508</v>
      </c>
      <c r="D13" s="82">
        <f>D11/H11</f>
        <v>0.018820577164367</v>
      </c>
      <c r="E13" s="82">
        <f>E11/H11</f>
        <v>0.15432873274781</v>
      </c>
      <c r="F13" s="82">
        <f>F11/H11</f>
        <v>0.060225846925973</v>
      </c>
      <c r="G13" s="82">
        <f>G11/H11</f>
        <v>0.58092848180677</v>
      </c>
      <c r="H13"/>
    </row>
    <row r="14" spans="1:12">
      <c r="B14" t="s">
        <v>101</v>
      </c>
      <c r="C14" s="77">
        <f>H14*C13</f>
        <v>41.781681304894</v>
      </c>
      <c r="D14" s="77">
        <f>H14*D13</f>
        <v>4.2346298619825</v>
      </c>
      <c r="E14" s="77">
        <f>H14*E13</f>
        <v>34.723964868256</v>
      </c>
      <c r="F14" s="77">
        <f>H14*F13</f>
        <v>13.550815558344</v>
      </c>
      <c r="G14" s="77">
        <f>H14*G13</f>
        <v>130.70890840652</v>
      </c>
      <c r="H14" s="85">
        <f>IF(H7&lt;1, L7*0.6, L7*0.6*H7)</f>
        <v>225</v>
      </c>
    </row>
    <row r="15" spans="1:12">
      <c r="B15" t="s">
        <v>102</v>
      </c>
      <c r="C15" s="77">
        <f>C11+C14</f>
        <v>189.78168130489</v>
      </c>
      <c r="D15" s="77">
        <f>D11+D14</f>
        <v>19.234629861982</v>
      </c>
      <c r="E15" s="77">
        <f>E11+E14</f>
        <v>157.72396486826</v>
      </c>
      <c r="F15" s="77">
        <f>F11+F14</f>
        <v>61.550815558344</v>
      </c>
      <c r="G15" s="77">
        <f>G11+G14</f>
        <v>593.70890840651</v>
      </c>
      <c r="H15" s="85">
        <f>SUM(C15:G15)</f>
        <v>1022</v>
      </c>
    </row>
    <row r="16" spans="1:12">
      <c r="B16" s="76" t="s">
        <v>103</v>
      </c>
      <c r="C16" s="77">
        <f>C12+C14</f>
        <v>41.781681304894</v>
      </c>
      <c r="D16" s="77">
        <f>D12+D14</f>
        <v>4.2346298619825</v>
      </c>
      <c r="E16" s="77">
        <f>E12+E14</f>
        <v>34.723964868256</v>
      </c>
      <c r="F16" s="77">
        <f>F12+F14</f>
        <v>13.550815558344</v>
      </c>
      <c r="G16" s="77">
        <f>G12+G14</f>
        <v>130.70890840652</v>
      </c>
      <c r="H16" s="85">
        <f>SUM(C16:G16)</f>
        <v>225</v>
      </c>
    </row>
    <row r="17" spans="1:12">
      <c r="B17" t="s">
        <v>104</v>
      </c>
      <c r="C17" s="77">
        <f>IF(H11&gt;5000,100*C13,50*C13)</f>
        <v>9.2848180677542</v>
      </c>
      <c r="D17" s="77">
        <f>IF(H11&gt;5000,100*D13,50*D13)</f>
        <v>0.94102885821833</v>
      </c>
      <c r="E17" s="77">
        <f>IF(H11&gt;5000,100*E13,50*E13)</f>
        <v>7.7164366373903</v>
      </c>
      <c r="F17" s="77">
        <f>IF(H11&gt;5000,100*F13,50*F13)</f>
        <v>3.0112923462987</v>
      </c>
      <c r="G17" s="77">
        <f>IF(H11&gt;5000,100*G13,50*G13)</f>
        <v>29.046424090339</v>
      </c>
      <c r="H17" s="85">
        <f>SUM(C17:G17)</f>
        <v>50</v>
      </c>
    </row>
    <row r="18" spans="1:12">
      <c r="B18" t="s">
        <v>105</v>
      </c>
      <c r="C18" s="77">
        <f>C15+C17</f>
        <v>199.06649937265</v>
      </c>
      <c r="D18" s="77">
        <f>D15+D17</f>
        <v>20.175658720201</v>
      </c>
      <c r="E18" s="77">
        <f>E15+E17</f>
        <v>165.44040150565</v>
      </c>
      <c r="F18" s="77">
        <f>F15+F17</f>
        <v>64.562107904643</v>
      </c>
      <c r="G18" s="77">
        <f>G15+G17</f>
        <v>622.75533249685</v>
      </c>
      <c r="H18" s="85">
        <f>SUM(C18:G18)</f>
        <v>1072</v>
      </c>
    </row>
    <row r="19" spans="1:12">
      <c r="B19" s="76" t="s">
        <v>106</v>
      </c>
      <c r="C19" s="77">
        <f>C16+C17</f>
        <v>51.066499372648</v>
      </c>
      <c r="D19" s="77">
        <f>D16+D17</f>
        <v>5.1756587202008</v>
      </c>
      <c r="E19" s="77">
        <f>E16+E17</f>
        <v>42.440401505647</v>
      </c>
      <c r="F19" s="77">
        <f>F16+F17</f>
        <v>16.562107904643</v>
      </c>
      <c r="G19" s="77">
        <f>G16+G17</f>
        <v>159.75533249686</v>
      </c>
      <c r="H19" s="85">
        <f>SUM(C19:G19)</f>
        <v>275</v>
      </c>
    </row>
    <row r="23" spans="1:12">
      <c r="B23" s="73" t="s">
        <v>116</v>
      </c>
      <c r="C23"/>
      <c r="D23"/>
      <c r="E23"/>
    </row>
    <row r="26" spans="1:12">
      <c r="B26" t="s">
        <v>117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f>SUM(C26:G26)</f>
        <v>0</v>
      </c>
    </row>
    <row r="27" spans="1:12">
      <c r="C27" s="83">
        <v>0.0</v>
      </c>
      <c r="D27" s="83">
        <v>0.06</v>
      </c>
      <c r="E27" s="83">
        <v>0.0</v>
      </c>
      <c r="F27" s="83">
        <v>0.06</v>
      </c>
      <c r="G27" s="83">
        <v>0.0</v>
      </c>
      <c r="H27" s="82">
        <f>SUM(C27:G27)</f>
        <v>0.12</v>
      </c>
    </row>
    <row r="28" spans="1:12">
      <c r="B28" t="s">
        <v>110</v>
      </c>
      <c r="C28" s="77">
        <f>MAX(C19,C18)*C27</f>
        <v>0</v>
      </c>
      <c r="D28" s="77">
        <f>MAX(D19,D18)*D27</f>
        <v>1.210539523212</v>
      </c>
      <c r="E28" s="77">
        <f>MAX(E19,E18)*E27</f>
        <v>0</v>
      </c>
      <c r="F28" s="77">
        <f>MAX(F19,F18)*F27</f>
        <v>3.8737264742786</v>
      </c>
      <c r="G28" s="77">
        <f>MAX(G19,G18)*G27</f>
        <v>0</v>
      </c>
      <c r="H28" s="77">
        <f>SUM(C28:G28)</f>
        <v>5.0842659974906</v>
      </c>
    </row>
    <row r="29" spans="1:12">
      <c r="B29" t="s">
        <v>31</v>
      </c>
      <c r="C29" s="77">
        <f>0.16*(MAX(C19,C18)+C28)</f>
        <v>31.850639899624</v>
      </c>
      <c r="D29" s="77">
        <f>0.16*(MAX(D19,D18)+D28)</f>
        <v>3.4217917189461</v>
      </c>
      <c r="E29" s="77">
        <f>0.16*(MAX(E19,E18)+E28)</f>
        <v>26.470464240903</v>
      </c>
      <c r="F29" s="77">
        <f>0.16*(MAX(F19,F18)+F28)</f>
        <v>10.949733500627</v>
      </c>
      <c r="G29" s="77">
        <f>0.16*(MAX(G19,G18)+G28)</f>
        <v>99.640853199496</v>
      </c>
      <c r="H29" s="77">
        <f>SUM(C29:G29)</f>
        <v>172.3334825596</v>
      </c>
    </row>
    <row r="30" spans="1:12">
      <c r="B30" t="s">
        <v>32</v>
      </c>
      <c r="C30" s="77">
        <f>0.02*(MAX(C19,C18)+C28)</f>
        <v>3.981329987453</v>
      </c>
      <c r="D30" s="77">
        <f>0.02*(MAX(D19,D18)+D28)</f>
        <v>0.42772396486826</v>
      </c>
      <c r="E30" s="77">
        <f>0.02*(MAX(E19,E18)+E28)</f>
        <v>3.3088080301129</v>
      </c>
      <c r="F30" s="77">
        <f>0.02*(MAX(F19,F18)+F28)</f>
        <v>1.3687166875784</v>
      </c>
      <c r="G30" s="77">
        <f>0.02*(MAX(G19,G18)+G28)</f>
        <v>12.455106649937</v>
      </c>
      <c r="H30" s="77">
        <f>SUM(C30:G30)</f>
        <v>21.54168531995</v>
      </c>
    </row>
    <row r="31" spans="1:12">
      <c r="B31" t="s">
        <v>111</v>
      </c>
      <c r="C31" s="77">
        <f>0.035*(MAX(C18,C19) +C28+C29+C30)</f>
        <v>8.2214464240904</v>
      </c>
      <c r="D31" s="77">
        <f>0.035*(MAX(D18,D19) +D28+D29+D30)</f>
        <v>0.88324998745295</v>
      </c>
      <c r="E31" s="77">
        <f>0.035*(MAX(E18,E19) +E28+E29+E30)</f>
        <v>6.8326885821832</v>
      </c>
      <c r="F31" s="77">
        <f>0.035*(MAX(F18,F19) +F28+F29+F30)</f>
        <v>2.8263999598494</v>
      </c>
      <c r="G31" s="77">
        <f>0.035*(MAX(G18,G19) +G28+G29+G30)</f>
        <v>25.71979523212</v>
      </c>
      <c r="H31" s="77">
        <f>SUM(C31:G31)</f>
        <v>44.483580185696</v>
      </c>
    </row>
    <row r="32" spans="1:12">
      <c r="B32" t="s">
        <v>36</v>
      </c>
      <c r="C32" s="77">
        <f>SUM(C28:C31)</f>
        <v>44.053416311167</v>
      </c>
      <c r="D32" s="77">
        <f>SUM(D28:D31)</f>
        <v>5.9433051944793</v>
      </c>
      <c r="E32" s="77">
        <f>SUM(E28:E31)</f>
        <v>36.6119608532</v>
      </c>
      <c r="F32" s="77">
        <f>SUM(F28:F31)</f>
        <v>19.018576622334</v>
      </c>
      <c r="G32" s="77">
        <f>SUM(G28:G31)</f>
        <v>137.81575508155</v>
      </c>
      <c r="H32" s="77">
        <f>SUM(H28:H31)</f>
        <v>243.44301406273</v>
      </c>
    </row>
    <row r="37" spans="1:12">
      <c r="B37" s="73" t="s">
        <v>118</v>
      </c>
      <c r="C37"/>
      <c r="D37"/>
      <c r="E37"/>
    </row>
    <row r="40" spans="1:12">
      <c r="B40" t="s">
        <v>112</v>
      </c>
      <c r="C40" s="77">
        <f>C13*H40</f>
        <v>27.854454203263</v>
      </c>
      <c r="D40" s="77">
        <f>D13*H40</f>
        <v>2.823086574655</v>
      </c>
      <c r="E40" s="77">
        <f>E13*H40</f>
        <v>23.149309912171</v>
      </c>
      <c r="F40" s="77">
        <f>F13*H40</f>
        <v>9.033877038896</v>
      </c>
      <c r="G40" s="77">
        <f>G13*H40</f>
        <v>87.139272271016</v>
      </c>
      <c r="H40" s="77">
        <f>IF(H7&lt;1, L7*0.4,L7*0.4*H7)</f>
        <v>150</v>
      </c>
    </row>
    <row r="41" spans="1:12">
      <c r="B41"/>
    </row>
    <row r="43" spans="1:12">
      <c r="B43" t="s">
        <v>112</v>
      </c>
      <c r="C43" t="s">
        <v>49</v>
      </c>
      <c r="D43" t="s">
        <v>50</v>
      </c>
      <c r="E43" t="s">
        <v>51</v>
      </c>
      <c r="F43" t="s">
        <v>52</v>
      </c>
      <c r="G43" t="s">
        <v>89</v>
      </c>
      <c r="H43" t="s">
        <v>109</v>
      </c>
    </row>
    <row r="44" spans="1:12">
      <c r="B44" t="s">
        <v>113</v>
      </c>
      <c r="C44" s="77">
        <f>SUM(C15,C40,C32,(C26))</f>
        <v>261.68955181932</v>
      </c>
      <c r="D44" s="77">
        <f>SUM(D15,D40,D32,(D26))</f>
        <v>28.001021631117</v>
      </c>
      <c r="E44" s="77">
        <f>SUM(E15,E40,E32,(E26))</f>
        <v>217.48523563363</v>
      </c>
      <c r="F44" s="77">
        <f>SUM(F15,F40,F32,(F26))</f>
        <v>89.603269219574</v>
      </c>
      <c r="G44" s="77">
        <f>SUM(G15,G40,G32,(G26))</f>
        <v>818.66393575908</v>
      </c>
      <c r="H44" s="77">
        <f>SUM(C44:G44)</f>
        <v>1415.4430140627</v>
      </c>
    </row>
    <row r="45" spans="1:12">
      <c r="B45" t="s">
        <v>45</v>
      </c>
      <c r="C45">
        <v>10.0</v>
      </c>
      <c r="D45">
        <v>2.0</v>
      </c>
      <c r="E45">
        <v>6.0</v>
      </c>
      <c r="F45">
        <v>2.0</v>
      </c>
      <c r="G45">
        <v>300.0</v>
      </c>
      <c r="H45"/>
    </row>
    <row r="46" spans="1:12">
      <c r="B46" t="s">
        <v>114</v>
      </c>
      <c r="C46" s="77">
        <f>SUM(C44/C45)</f>
        <v>26.168955181932</v>
      </c>
      <c r="D46" s="77">
        <f>SUM(D44/D45)</f>
        <v>14.000510815558</v>
      </c>
      <c r="E46" s="77">
        <f>SUM(E44/E45)</f>
        <v>36.247539272271</v>
      </c>
      <c r="F46" s="77">
        <f>SUM(F44/F45)</f>
        <v>44.801634609787</v>
      </c>
      <c r="G46" s="77">
        <f>SUM(G44/G45)</f>
        <v>2.7288797858636</v>
      </c>
      <c r="H46"/>
    </row>
    <row r="47" spans="1:12">
      <c r="B47" t="s">
        <v>115</v>
      </c>
      <c r="C47" s="84">
        <f>C46*3.7</f>
        <v>96.82513417315</v>
      </c>
      <c r="D47" s="84">
        <f>D46*3.7</f>
        <v>51.801890017566</v>
      </c>
      <c r="E47" s="84">
        <f>E46*3.7</f>
        <v>134.1158953074</v>
      </c>
      <c r="F47" s="84">
        <f>F46*3.7</f>
        <v>165.76604805621</v>
      </c>
      <c r="G47" s="84">
        <f>G46*3.7</f>
        <v>10.096855207695</v>
      </c>
      <c r="H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