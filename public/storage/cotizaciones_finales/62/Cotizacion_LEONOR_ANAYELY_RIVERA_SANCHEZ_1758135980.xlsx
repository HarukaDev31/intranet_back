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<sst xmlns="http://schemas.openxmlformats.org/spreadsheetml/2006/main" uniqueCount="116">
  <si>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</si>
  <si>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</si>
  <si>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</si>
  <si>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</si>
  <si>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LEONOR ANAYELY RIVERA SANCHEZ</t>
  </si>
  <si>
    <t>SERVICIO:</t>
  </si>
  <si>
    <t>CARGA CONSOLIDADA</t>
  </si>
  <si>
    <t>N° CAJAS:</t>
  </si>
  <si>
    <t>APELLIDO:</t>
  </si>
  <si>
    <t>FECHA:</t>
  </si>
  <si>
    <t>PESO:</t>
  </si>
  <si>
    <t>116 Kg</t>
  </si>
  <si>
    <t>DNI/RUC:</t>
  </si>
  <si>
    <t>ORIGEN:</t>
  </si>
  <si>
    <t>CHINA</t>
  </si>
  <si>
    <t>MEDIDA:</t>
  </si>
  <si>
    <t>TELEFONO:</t>
  </si>
  <si>
    <t>51 928252181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</si>
  <si>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</si>
  <si>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</si>
  <si>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</si>
  <si>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</si>
  <si>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</si>
  <si>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</si>
  <si>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</si>
  <si>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</si>
  <si>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</si>
  <si>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</si>
  <si>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</si>
  <si>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</si>
  <si>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</si>
  <si>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</si>
  <si>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</si>
  <si>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</si>
  <si>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</si>
  <si>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</si>
  <si>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</si>
  <si>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</si>
  <si>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</si>
  <si>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</si>
  <si>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</si>
  <si>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</si>
  <si>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</si>
  <si>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</si>
  <si>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</si>
  <si>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</si>
  <si>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</si>
  <si>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</si>
  <si>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</si>
  <si>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PISTOLA DE AGUA PARA INODORO</t>
  </si>
  <si>
    <t>ORGANIZADOR DE BAÑO SET DE 5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</si>
  <si>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</si>
  <si>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</si>
  <si>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</si>
  <si>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</si>
  <si>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</si>
  <si>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</si>
  <si>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</si>
  <si>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</si>
  <si>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</si>
  <si>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</si>
  <si>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</si>
  <si>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</si>
  <si>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</si>
  <si>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</si>
  <si>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</si>
  <si>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</si>
  <si>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</si>
  <si>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</si>
  <si>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</si>
  <si>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</si>
  <si>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</si>
  <si>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</si>
  <si>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</si>
  <si>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</si>
  <si>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</si>
  <si>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</si>
  <si>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</si>
  <si>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</si>
  <si>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</si>
  <si>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</si>
  <si>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</si>
  <si>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</si>
  <si>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</si>
  <si>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</si>
  <si>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</si>
  <si>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</si>
  <si>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LEONOR ANAYELY RIVERA SANCHEZ 😁 un gusto saludarte!
A continuación te envío la cotización final de tu importación📋📦.
🙋‍♂️ PAGO PENDIENTE :
☑️Costo CBM: $350
☑️Impuestos: $4.68
☑️ Total: $354.68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</si>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</sst>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8" sqref="B38:L3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/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'2'!D7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'2'!D11</f>
        <v>590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'2'!D14 + '2'!D17</f>
        <v>146.32833186231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736.32833186231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'2'!D28</f>
        <v>44.179699911739</v>
      </c>
      <c r="L20" s="8" t="s">
        <v>25</v>
      </c>
      <c r="N20" t="s">
        <v>87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'2'!D29</f>
        <v>124.88128508385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'2'!D30</f>
        <v>15.610160635481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184.67114563107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'2'!D31</f>
        <v>32.234981712268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216.90612734334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590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350, 350*J11)</f>
        <v>350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216.90612734334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1156.9061273433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120</v>
      </c>
      <c r="G36" s="103">
        <f>'2'!C8</f>
        <v>4.525</v>
      </c>
      <c r="H36" s="104"/>
      <c r="I36" s="103">
        <f>'2'!C46</f>
        <v>7.3123608605472</v>
      </c>
      <c r="J36" s="103">
        <f>'2'!C44</f>
        <v>877.48330326567</v>
      </c>
      <c r="K36" s="105">
        <f>'2'!C47</f>
        <v>27.055735184025</v>
      </c>
      <c r="L36" s="55"/>
    </row>
    <row r="37" spans="1:14">
      <c r="A37" s="1"/>
      <c r="B37" s="99">
        <v>2</v>
      </c>
      <c r="C37" s="100" t="s">
        <v>50</v>
      </c>
      <c r="D37" s="101"/>
      <c r="E37" s="102"/>
      <c r="F37" s="99">
        <f>'2'!D10</f>
        <v>100</v>
      </c>
      <c r="G37" s="103">
        <f>'2'!D8</f>
        <v>5.9</v>
      </c>
      <c r="H37" s="104"/>
      <c r="I37" s="103">
        <f>'2'!D46</f>
        <v>10.073915642365</v>
      </c>
      <c r="J37" s="103">
        <f>'2'!D44</f>
        <v>1007.3915642365</v>
      </c>
      <c r="K37" s="105">
        <f>'2'!D47</f>
        <v>37.273487876752</v>
      </c>
      <c r="L37" s="55"/>
    </row>
    <row r="38" spans="1:14">
      <c r="A38" s="1"/>
      <c r="B38" s="107" t="s">
        <v>36</v>
      </c>
      <c r="C38" s="64"/>
      <c r="D38" s="27"/>
      <c r="E38" s="66"/>
      <c r="F38" s="5">
        <f>SUM(F36:F37)</f>
        <v>220</v>
      </c>
      <c r="G38" s="67"/>
      <c r="H38" s="68"/>
      <c r="I38" s="28"/>
      <c r="J38" s="108">
        <f>SUM(J36:J37)</f>
        <v>1884.8748675022</v>
      </c>
      <c r="K38" s="106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51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52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53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54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55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56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57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58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59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60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61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62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63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64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65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66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67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68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69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70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71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72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75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76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77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78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79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80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81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82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83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84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85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86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8:E38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4.135" bestFit="true" customWidth="true" style="0"/>
    <col min="5" max="5" width="11.711" bestFit="true" customWidth="true" style="0"/>
  </cols>
  <sheetData>
    <row r="3" spans="1:9">
      <c r="B3" s="85" t="s">
        <v>88</v>
      </c>
      <c r="C3"/>
      <c r="D3"/>
      <c r="E3"/>
      <c r="F3"/>
      <c r="G3"/>
    </row>
    <row r="5" spans="1:9">
      <c r="B5" s="87" t="s">
        <v>89</v>
      </c>
      <c r="C5" s="86" t="s">
        <v>49</v>
      </c>
      <c r="D5" s="86" t="s">
        <v>50</v>
      </c>
      <c r="E5" s="86" t="s">
        <v>106</v>
      </c>
    </row>
    <row r="6" spans="1:9">
      <c r="B6" t="s">
        <v>90</v>
      </c>
      <c r="C6">
        <v>0</v>
      </c>
      <c r="D6">
        <v>0</v>
      </c>
      <c r="E6" s="91">
        <v>116</v>
      </c>
      <c r="H6" s="90" t="s">
        <v>104</v>
      </c>
      <c r="I6" s="90" t="s">
        <v>105</v>
      </c>
    </row>
    <row r="7" spans="1:9">
      <c r="B7" t="s">
        <v>91</v>
      </c>
      <c r="C7">
        <v>0</v>
      </c>
      <c r="D7">
        <v>0</v>
      </c>
      <c r="E7" s="92">
        <v>1.1</v>
      </c>
      <c r="H7" s="90" t="s">
        <v>19</v>
      </c>
      <c r="I7" s="90">
        <v>350</v>
      </c>
    </row>
    <row r="8" spans="1:9">
      <c r="B8" t="s">
        <v>92</v>
      </c>
      <c r="C8" s="89">
        <v>4.525</v>
      </c>
      <c r="D8" s="89">
        <v>5.9</v>
      </c>
      <c r="E8"/>
    </row>
    <row r="9" spans="1:9">
      <c r="B9" s="88" t="s">
        <v>93</v>
      </c>
      <c r="C9" s="89">
        <v>0</v>
      </c>
      <c r="D9" s="89">
        <v>0</v>
      </c>
      <c r="E9"/>
    </row>
    <row r="10" spans="1:9">
      <c r="B10" t="s">
        <v>94</v>
      </c>
      <c r="C10">
        <v>120</v>
      </c>
      <c r="D10">
        <v>100</v>
      </c>
      <c r="E10">
        <f>SUM(C10:D10)</f>
        <v>220</v>
      </c>
    </row>
    <row r="11" spans="1:9">
      <c r="B11" t="s">
        <v>95</v>
      </c>
      <c r="C11" s="89">
        <f>C8*C10</f>
        <v>543</v>
      </c>
      <c r="D11" s="89">
        <f>D8*D10</f>
        <v>590</v>
      </c>
      <c r="E11">
        <f>SUM(C11:D11)</f>
        <v>1133</v>
      </c>
    </row>
    <row r="12" spans="1:9">
      <c r="B12" s="88" t="s">
        <v>96</v>
      </c>
      <c r="C12" s="89">
        <f>C10*C9</f>
        <v>0</v>
      </c>
      <c r="D12" s="89">
        <f>D10*D9</f>
        <v>0</v>
      </c>
      <c r="E12"/>
    </row>
    <row r="13" spans="1:9">
      <c r="B13" t="s">
        <v>97</v>
      </c>
      <c r="C13" s="93">
        <f>C11/E11</f>
        <v>0.4792586054722</v>
      </c>
      <c r="D13" s="93">
        <f>D11/E11</f>
        <v>0.5207413945278</v>
      </c>
      <c r="E13"/>
    </row>
    <row r="14" spans="1:9">
      <c r="B14" t="s">
        <v>98</v>
      </c>
      <c r="C14" s="89">
        <f>E14*C13</f>
        <v>110.70873786408</v>
      </c>
      <c r="D14" s="89">
        <f>E14*D13</f>
        <v>120.29126213592</v>
      </c>
      <c r="E14">
        <f>IF(E7&lt;1, I7*0.6, I7*0.6*E7)</f>
        <v>231</v>
      </c>
    </row>
    <row r="15" spans="1:9">
      <c r="B15" t="s">
        <v>99</v>
      </c>
      <c r="C15" s="89">
        <f>C11+C14</f>
        <v>653.70873786408</v>
      </c>
      <c r="D15" s="89">
        <f>D11+D14</f>
        <v>710.29126213592</v>
      </c>
      <c r="E15"/>
    </row>
    <row r="16" spans="1:9">
      <c r="B16" s="88" t="s">
        <v>100</v>
      </c>
      <c r="C16" s="89">
        <f>C12+C14</f>
        <v>110.70873786408</v>
      </c>
      <c r="D16" s="89">
        <f>D12+D14</f>
        <v>120.29126213592</v>
      </c>
      <c r="E16"/>
    </row>
    <row r="17" spans="1:9">
      <c r="B17" t="s">
        <v>101</v>
      </c>
      <c r="C17" s="89">
        <f>IF(E11&gt;5000,100*C13,50*C13)</f>
        <v>23.96293027361</v>
      </c>
      <c r="D17" s="89">
        <f>IF(E11&gt;5000,100*D13,50*D13)</f>
        <v>26.03706972639</v>
      </c>
      <c r="E17"/>
    </row>
    <row r="18" spans="1:9">
      <c r="B18" t="s">
        <v>102</v>
      </c>
      <c r="C18" s="89">
        <f>C15+C17</f>
        <v>677.67166813769</v>
      </c>
      <c r="D18" s="89">
        <f>D15+D17</f>
        <v>736.32833186231</v>
      </c>
      <c r="E18"/>
    </row>
    <row r="19" spans="1:9">
      <c r="B19" s="88" t="s">
        <v>103</v>
      </c>
      <c r="C19" s="89">
        <f>C16+C17</f>
        <v>134.67166813769</v>
      </c>
      <c r="D19" s="89">
        <f>D16+D17</f>
        <v>146.32833186231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0.06</v>
      </c>
      <c r="E27" s="93">
        <f>SUM(C27:D27)</f>
        <v>0.06</v>
      </c>
    </row>
    <row r="28" spans="1:9">
      <c r="B28" t="s">
        <v>107</v>
      </c>
      <c r="C28" s="89">
        <f>MAX(C19,C18)*C27</f>
        <v>0</v>
      </c>
      <c r="D28" s="89">
        <f>MAX(D19,D18)*D27</f>
        <v>44.179699911739</v>
      </c>
      <c r="E28" s="89">
        <f>SUM(C28:D28)</f>
        <v>44.179699911739</v>
      </c>
    </row>
    <row r="29" spans="1:9">
      <c r="B29" t="s">
        <v>31</v>
      </c>
      <c r="C29" s="89">
        <f>0.16*(MAX(C19,C18)+C28)</f>
        <v>108.42746690203</v>
      </c>
      <c r="D29" s="89">
        <f>0.16*(MAX(D19,D18)+D28)</f>
        <v>124.88128508385</v>
      </c>
      <c r="E29" s="89">
        <f>SUM(C29:D29)</f>
        <v>233.30875198588</v>
      </c>
    </row>
    <row r="30" spans="1:9">
      <c r="B30" t="s">
        <v>32</v>
      </c>
      <c r="C30" s="89">
        <f>0.02*(MAX(C19,C18)+C28)</f>
        <v>13.553433362754</v>
      </c>
      <c r="D30" s="89">
        <f>0.02*(MAX(D19,D18)+D28)</f>
        <v>15.610160635481</v>
      </c>
      <c r="E30" s="89">
        <f>SUM(C30:D30)</f>
        <v>29.163593998235</v>
      </c>
    </row>
    <row r="31" spans="1:9">
      <c r="B31" t="s">
        <v>108</v>
      </c>
      <c r="C31" s="89">
        <f>0.035*(MAX(C18,C19) +C28+C29+C30)</f>
        <v>27.987839894086</v>
      </c>
      <c r="D31" s="89">
        <f>0.035*(MAX(D18,D19) +D28+D29+D30)</f>
        <v>32.234981712268</v>
      </c>
      <c r="E31" s="89">
        <f>SUM(C31:D31)</f>
        <v>60.222821606355</v>
      </c>
    </row>
    <row r="32" spans="1:9">
      <c r="B32" t="s">
        <v>36</v>
      </c>
      <c r="C32" s="89">
        <f>SUM(C28:C31)</f>
        <v>149.96874015887</v>
      </c>
      <c r="D32" s="89">
        <f>SUM(D28:D31)</f>
        <v>216.90612734334</v>
      </c>
      <c r="E32" s="89">
        <f>SUM(E28:E31)</f>
        <v>366.87486750221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73.805825242718</v>
      </c>
      <c r="D40" s="89">
        <f>D13*E40</f>
        <v>80.194174757282</v>
      </c>
      <c r="E40">
        <f>IF(E7&lt;1, I7*0.4,I7*0.4*E7)</f>
        <v>154</v>
      </c>
    </row>
    <row r="41" spans="1:9">
      <c r="B41"/>
    </row>
    <row r="43" spans="1:9">
      <c r="B43" t="s">
        <v>109</v>
      </c>
      <c r="C43" t="s">
        <v>49</v>
      </c>
      <c r="D43" t="s">
        <v>50</v>
      </c>
      <c r="E43" t="s">
        <v>106</v>
      </c>
    </row>
    <row r="44" spans="1:9">
      <c r="B44" t="s">
        <v>110</v>
      </c>
      <c r="C44" s="89">
        <f>SUM(C15,C40,C32,(C26))</f>
        <v>877.48330326567</v>
      </c>
      <c r="D44" s="89">
        <f>SUM(D15,D40,D32,(D26))</f>
        <v>1007.3915642365</v>
      </c>
      <c r="E44" s="89">
        <f>SUM(C44:D44)</f>
        <v>1884.8748675022</v>
      </c>
    </row>
    <row r="45" spans="1:9">
      <c r="B45" t="s">
        <v>45</v>
      </c>
      <c r="C45">
        <v>120</v>
      </c>
      <c r="D45">
        <v>100</v>
      </c>
      <c r="E45"/>
    </row>
    <row r="46" spans="1:9">
      <c r="B46" t="s">
        <v>111</v>
      </c>
      <c r="C46" s="89">
        <f>SUM(C44/C45)</f>
        <v>7.3123608605472</v>
      </c>
      <c r="D46" s="89">
        <f>SUM(D44/D45)</f>
        <v>10.073915642365</v>
      </c>
      <c r="E46"/>
    </row>
    <row r="47" spans="1:9">
      <c r="B47" t="s">
        <v>112</v>
      </c>
      <c r="C47" s="95">
        <f>C46*3.7</f>
        <v>27.055735184025</v>
      </c>
      <c r="D47" s="95">
        <f>D46*3.7</f>
        <v>37.273487876752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