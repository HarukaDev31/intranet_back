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<sst xmlns="http://schemas.openxmlformats.org/spreadsheetml/2006/main" uniqueCount="115">
  <si>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</si>
  <si>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</si>
  <si>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</si>
  <si>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</si>
  <si>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ANTHONY ROCCA CAQUI 2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</si>
  <si>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</si>
  <si>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</si>
  <si>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</si>
  <si>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</si>
  <si>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</si>
  <si>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</si>
  <si>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</si>
  <si>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</si>
  <si>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</si>
  <si>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</si>
  <si>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</si>
  <si>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</si>
  <si>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</si>
  <si>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</si>
  <si>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</si>
  <si>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</si>
  <si>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</si>
  <si>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</si>
  <si>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</si>
  <si>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</si>
  <si>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</si>
  <si>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</si>
  <si>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</si>
  <si>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</si>
  <si>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</si>
  <si>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</si>
  <si>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</si>
  <si>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</si>
  <si>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</si>
  <si>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</si>
  <si>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</si>
  <si>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</si>
  <si>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</si>
  <si>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</si>
  <si>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</si>
  <si>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</si>
  <si>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</si>
  <si>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</si>
  <si>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</si>
  <si>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</si>
  <si>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</si>
  <si>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</si>
  <si>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</si>
  <si>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</si>
  <si>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MOCHILA VIAJERA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</si>
  <si>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</si>
  <si>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</si>
  <si>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</si>
  <si>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</si>
  <si>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</si>
  <si>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</si>
  <si>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</si>
  <si>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</si>
  <si>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</si>
  <si>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</si>
  <si>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</si>
  <si>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</si>
  <si>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</si>
  <si>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</si>
  <si>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</si>
  <si>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</si>
  <si>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</si>
  <si>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</si>
  <si>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</si>
  <si>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</si>
  <si>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</si>
  <si>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</si>
  <si>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</si>
  <si>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</si>
  <si>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</si>
  <si>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</si>
  <si>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</si>
  <si>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</si>
  <si>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</si>
  <si>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</si>
  <si>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</si>
  <si>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</si>
  <si>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</si>
  <si>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</si>
  <si>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</si>
  <si>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</si>
  <si>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2 😁 un gusto saludarte!
A continuación te envío la cotización final de tu importación📋📦.
🙋‍♂️ PAGO PENDIENTE :
☑️Costo CBM: $936
☑️Impuestos: $419.14
☑️ Total: $1355.14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</si>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</sst>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/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2300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245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2545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25</v>
      </c>
      <c r="N20" t="s">
        <v>86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407.2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50.9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458.1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'2'!C31</f>
        <v>105.1085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563.2085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2300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325, 325*J11)</f>
        <v>325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563.2085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3188.2085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250</v>
      </c>
      <c r="G36" s="103">
        <f>'2'!C8</f>
        <v>9.2</v>
      </c>
      <c r="H36" s="104"/>
      <c r="I36" s="103">
        <f>'2'!C46</f>
        <v>12.752834</v>
      </c>
      <c r="J36" s="103">
        <f>'2'!C44</f>
        <v>3188.2085</v>
      </c>
      <c r="K36" s="105">
        <f>'2'!C47</f>
        <v>47.1854858</v>
      </c>
      <c r="L36" s="55"/>
    </row>
    <row r="37" spans="1:14">
      <c r="A37" s="1"/>
      <c r="B37" s="108" t="s">
        <v>36</v>
      </c>
      <c r="C37" s="64"/>
      <c r="D37" s="27"/>
      <c r="E37" s="66"/>
      <c r="F37" s="5">
        <f>SUM(F36:F36)</f>
        <v>250</v>
      </c>
      <c r="G37" s="67"/>
      <c r="H37" s="68"/>
      <c r="I37" s="28"/>
      <c r="J37" s="109">
        <f>SUM(J36:J36)</f>
        <v>3188.2085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8.71" bestFit="true" customWidth="true" style="0"/>
    <col min="4" max="4" width="10.569" bestFit="true" customWidth="true" style="0"/>
  </cols>
  <sheetData>
    <row r="3" spans="1:8">
      <c r="B3" s="85" t="s">
        <v>87</v>
      </c>
      <c r="C3"/>
      <c r="D3"/>
      <c r="E3"/>
      <c r="F3"/>
      <c r="G3"/>
    </row>
    <row r="5" spans="1:8">
      <c r="B5" s="87" t="s">
        <v>88</v>
      </c>
      <c r="C5" s="86" t="s">
        <v>49</v>
      </c>
      <c r="D5" s="86" t="s">
        <v>105</v>
      </c>
    </row>
    <row r="6" spans="1:8">
      <c r="B6" t="s">
        <v>89</v>
      </c>
      <c r="C6">
        <v>0</v>
      </c>
      <c r="D6" s="91">
        <v>22.3</v>
      </c>
      <c r="G6" s="90" t="s">
        <v>103</v>
      </c>
      <c r="H6" s="90" t="s">
        <v>104</v>
      </c>
    </row>
    <row r="7" spans="1:8">
      <c r="B7" t="s">
        <v>90</v>
      </c>
      <c r="C7">
        <v>0</v>
      </c>
      <c r="D7" s="92">
        <v>0.06</v>
      </c>
      <c r="G7" s="90" t="s">
        <v>19</v>
      </c>
      <c r="H7" s="90">
        <v>325</v>
      </c>
    </row>
    <row r="8" spans="1:8">
      <c r="B8" t="s">
        <v>91</v>
      </c>
      <c r="C8" s="89">
        <v>9.2</v>
      </c>
      <c r="D8"/>
    </row>
    <row r="9" spans="1:8">
      <c r="B9" s="88" t="s">
        <v>92</v>
      </c>
      <c r="C9" s="89">
        <v>0</v>
      </c>
      <c r="D9"/>
    </row>
    <row r="10" spans="1:8">
      <c r="B10" t="s">
        <v>93</v>
      </c>
      <c r="C10">
        <v>250</v>
      </c>
      <c r="D10">
        <f>SUM(C10:C10)</f>
        <v>250</v>
      </c>
    </row>
    <row r="11" spans="1:8">
      <c r="B11" t="s">
        <v>94</v>
      </c>
      <c r="C11" s="89">
        <f>C8*C10</f>
        <v>2300</v>
      </c>
      <c r="D11">
        <f>SUM(C11:C11)</f>
        <v>2300</v>
      </c>
    </row>
    <row r="12" spans="1:8">
      <c r="B12" s="88" t="s">
        <v>95</v>
      </c>
      <c r="C12" s="89">
        <f>C10*C9</f>
        <v>0</v>
      </c>
      <c r="D12"/>
    </row>
    <row r="13" spans="1:8">
      <c r="B13" t="s">
        <v>96</v>
      </c>
      <c r="C13" s="93">
        <f>C11/D11</f>
        <v>1</v>
      </c>
      <c r="D13"/>
    </row>
    <row r="14" spans="1:8">
      <c r="B14" t="s">
        <v>97</v>
      </c>
      <c r="C14" s="89">
        <f>D14*C13</f>
        <v>195</v>
      </c>
      <c r="D14">
        <f>IF(D7&lt;1, H7*0.6, H7*0.6*D7)</f>
        <v>195</v>
      </c>
    </row>
    <row r="15" spans="1:8">
      <c r="B15" t="s">
        <v>98</v>
      </c>
      <c r="C15" s="89">
        <f>C11+C14</f>
        <v>2495</v>
      </c>
      <c r="D15"/>
    </row>
    <row r="16" spans="1:8">
      <c r="B16" s="88" t="s">
        <v>99</v>
      </c>
      <c r="C16" s="89">
        <f>C12+C14</f>
        <v>195</v>
      </c>
      <c r="D16"/>
    </row>
    <row r="17" spans="1:8">
      <c r="B17" t="s">
        <v>100</v>
      </c>
      <c r="C17" s="89">
        <f>IF(D11&gt;5000,100*C13,50*C13)</f>
        <v>50</v>
      </c>
      <c r="D17"/>
    </row>
    <row r="18" spans="1:8">
      <c r="B18" t="s">
        <v>101</v>
      </c>
      <c r="C18" s="89">
        <f>C15+C17</f>
        <v>2545</v>
      </c>
      <c r="D18"/>
    </row>
    <row r="19" spans="1:8">
      <c r="B19" s="88" t="s">
        <v>102</v>
      </c>
      <c r="C19" s="89">
        <f>C16+C17</f>
        <v>245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0</v>
      </c>
      <c r="D28" s="89">
        <f>SUM(C28:C28)</f>
        <v>0</v>
      </c>
    </row>
    <row r="29" spans="1:8">
      <c r="B29" t="s">
        <v>31</v>
      </c>
      <c r="C29" s="89">
        <f>0.16*(MAX(C19,C18)+C28)</f>
        <v>407.2</v>
      </c>
      <c r="D29" s="89">
        <f>SUM(C29:C29)</f>
        <v>407.2</v>
      </c>
    </row>
    <row r="30" spans="1:8">
      <c r="B30" t="s">
        <v>32</v>
      </c>
      <c r="C30" s="89">
        <f>0.02*(MAX(C19,C18)+C28)</f>
        <v>50.9</v>
      </c>
      <c r="D30" s="89">
        <f>SUM(C30:C30)</f>
        <v>50.9</v>
      </c>
    </row>
    <row r="31" spans="1:8">
      <c r="B31" t="s">
        <v>107</v>
      </c>
      <c r="C31" s="89">
        <f>0.035*(MAX(C18,C19) +C28+C29+C30)</f>
        <v>105.1085</v>
      </c>
      <c r="D31" s="89">
        <f>SUM(C31:C31)</f>
        <v>105.1085</v>
      </c>
    </row>
    <row r="32" spans="1:8">
      <c r="B32" t="s">
        <v>36</v>
      </c>
      <c r="C32" s="89">
        <f>SUM(C28:C31)</f>
        <v>563.2085</v>
      </c>
      <c r="D32" s="89">
        <f>SUM(D28:D31)</f>
        <v>563.2085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130</v>
      </c>
      <c r="D40">
        <f>IF(D7&lt;1, H7*0.4,H7*0.4*D7)</f>
        <v>130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9">
        <f>SUM(C15,C40,C32,(C26))</f>
        <v>3188.2085</v>
      </c>
      <c r="D44" s="89">
        <f>SUM(C44:C44)</f>
        <v>3188.2085</v>
      </c>
    </row>
    <row r="45" spans="1:8">
      <c r="B45" t="s">
        <v>45</v>
      </c>
      <c r="C45">
        <v>250</v>
      </c>
      <c r="D45"/>
    </row>
    <row r="46" spans="1:8">
      <c r="B46" t="s">
        <v>110</v>
      </c>
      <c r="C46" s="89">
        <f>SUM(C44/C45)</f>
        <v>12.752834</v>
      </c>
      <c r="D46"/>
    </row>
    <row r="47" spans="1:8">
      <c r="B47" t="s">
        <v>111</v>
      </c>
      <c r="C47" s="95">
        <f>C46*3.7</f>
        <v>47.1854858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