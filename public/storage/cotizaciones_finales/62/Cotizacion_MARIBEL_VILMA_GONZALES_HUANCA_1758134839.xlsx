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<sst xmlns="http://schemas.openxmlformats.org/spreadsheetml/2006/main" uniqueCount="122">
  <si>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</si>
  <si>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</si>
  <si>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</si>
  <si>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</si>
  <si>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MARIBEL VILMA GONZALES HUANCA</t>
  </si>
  <si>
    <t>SERVICIO:</t>
  </si>
  <si>
    <t>CARGA CONSOLIDADA</t>
  </si>
  <si>
    <t>N° CAJAS:</t>
  </si>
  <si>
    <t>APELLIDO:</t>
  </si>
  <si>
    <t>FECHA:</t>
  </si>
  <si>
    <t>PESO:</t>
  </si>
  <si>
    <t>100 Kg</t>
  </si>
  <si>
    <t>DNI/RUC:</t>
  </si>
  <si>
    <t>ORIGEN:</t>
  </si>
  <si>
    <t>CHINA</t>
  </si>
  <si>
    <t>MEDIDA:</t>
  </si>
  <si>
    <t>TELEFONO:</t>
  </si>
  <si>
    <t>51 940 469 505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</si>
  <si>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</si>
  <si>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</si>
  <si>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</si>
  <si>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</si>
  <si>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</si>
  <si>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</si>
  <si>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</si>
  <si>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</si>
  <si>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</si>
  <si>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</si>
  <si>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</si>
  <si>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</si>
  <si>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</si>
  <si>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</si>
  <si>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</si>
  <si>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</si>
  <si>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</si>
  <si>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</si>
  <si>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</si>
  <si>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</si>
  <si>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</si>
  <si>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</si>
  <si>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</si>
  <si>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</si>
  <si>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</si>
  <si>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</si>
  <si>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</si>
  <si>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</si>
  <si>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</si>
  <si>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</si>
  <si>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</si>
  <si>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</si>
  <si>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</si>
  <si>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</si>
  <si>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</si>
  <si>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</si>
  <si>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</si>
  <si>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</si>
  <si>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</si>
  <si>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</si>
  <si>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</si>
  <si>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</si>
  <si>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</si>
  <si>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</si>
  <si>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</si>
  <si>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</si>
  <si>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</si>
  <si>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</si>
  <si>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</si>
  <si>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</si>
  <si>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</si>
  <si>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</si>
  <si>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</si>
  <si>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</si>
  <si>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</si>
  <si>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</si>
  <si>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</si>
  <si>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</si>
  <si>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</si>
  <si>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</si>
  <si>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</si>
  <si>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</si>
  <si>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</si>
  <si>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</si>
  <si>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</si>
  <si>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</si>
  <si>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</si>
  <si>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MARIBEL VILMA GONZALES HUANCA 😁 un gusto saludarte!
A continuación te envío la cotización final de tu importación📋📦.
🙋‍♂️ PAGO PENDIENTE :
☑️Costo CBM: $735
☑️Impuestos: $0
☑️ Total: $735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</si>
  <si>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</si>
  <si>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</si>
  <si>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</si>
  <si>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</si>
  <si>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</si>
  <si>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</si>
  <si>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</si>
  <si>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</si>
  <si>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</si>
  <si>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</si>
  <si>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</si>
  <si>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</si>
  <si>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</si>
  <si>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</si>
  <si>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</si>
  <si>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</si>
  <si>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GORRO CON TRENZAS PARA NIÑA</t>
  </si>
  <si>
    <t>SOMBRERO MODELO CON OREJITAS</t>
  </si>
  <si>
    <t>SOMBRERO VINTAGE PARA NIÑA</t>
  </si>
  <si>
    <t>SOMBRERO DE VERANO PARA NIÑAS</t>
  </si>
  <si>
    <t>SOMBRERO MODELO GIRASOL</t>
  </si>
  <si>
    <t>GORRO MODELO LAZO</t>
  </si>
  <si>
    <t>GORRO CON CUELLERA PARA INVIERNO</t>
  </si>
  <si>
    <t>GORRO DE INVIERNO MODELO CASTOR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</si>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</sst>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41877382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2.1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'2'!J11</f>
        <v>215.6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'2'!J14 + '2'!J17</f>
        <v>20.637101142642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236.23710114264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'2'!J28</f>
        <v/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'2'!J29</f>
        <v/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'2'!J30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 t="str">
        <f>'2'!J31</f>
        <v>T. CAMBIO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 t="e">
        <f>K23+K25</f>
        <v>#VALUE!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215.6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350, 350*J11)</f>
        <v>735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 t="e">
        <f>K20+K21+K22+K25</f>
        <v>#VALUE!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 t="e">
        <f>K29+K30+K31</f>
        <v>#VALUE!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2.4853902673388</v>
      </c>
      <c r="J36" s="27">
        <f>+F36*I36</f>
        <v>621.3475668347</v>
      </c>
      <c r="K36" s="54">
        <f>I36*3.7</f>
        <v>9.1959439891535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390</v>
      </c>
      <c r="G37" s="66">
        <f>+'2'!$D$10</f>
        <v>390</v>
      </c>
      <c r="H37" s="67"/>
      <c r="I37" s="27">
        <f>+'2'!$D$46</f>
        <v>2.1401971746528</v>
      </c>
      <c r="J37" s="27">
        <f>+F37*I37</f>
        <v>834.67689811461</v>
      </c>
      <c r="K37" s="54">
        <f>I37*3.7</f>
        <v>7.9187295462155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199</v>
      </c>
      <c r="G38" s="66">
        <f>+'2'!$E$10</f>
        <v>199</v>
      </c>
      <c r="H38" s="67"/>
      <c r="I38" s="27">
        <f>+'2'!$E$46</f>
        <v>2.8305833600247</v>
      </c>
      <c r="J38" s="27">
        <f>+F38*I38</f>
        <v>563.28608864492</v>
      </c>
      <c r="K38" s="82">
        <f>I38*3.7</f>
        <v>10.473158432091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839</v>
      </c>
      <c r="G39" s="2"/>
      <c r="H39" s="2"/>
      <c r="J39" s="28">
        <f>+SUM(J36:J38)</f>
        <v>2019.3105535942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4.135" bestFit="true" customWidth="true" style="0"/>
    <col min="5" max="5" width="31.707" bestFit="true" customWidth="true" style="0"/>
    <col min="6" max="6" width="35.277" bestFit="true" customWidth="true" style="0"/>
    <col min="7" max="7" width="28.136" bestFit="true" customWidth="true" style="0"/>
    <col min="8" max="8" width="21.138" bestFit="true" customWidth="true" style="0"/>
    <col min="9" max="9" width="38.848" bestFit="true" customWidth="true" style="0"/>
    <col min="10" max="10" width="37.705" bestFit="true" customWidth="true" style="0"/>
    <col min="11" max="11" width="11.711" bestFit="true" customWidth="true" style="0"/>
  </cols>
  <sheetData>
    <row r="3" spans="1:15">
      <c r="B3" s="85" t="s">
        <v>86</v>
      </c>
      <c r="C3"/>
      <c r="D3"/>
      <c r="E3"/>
      <c r="F3"/>
      <c r="G3"/>
    </row>
    <row r="5" spans="1:15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109</v>
      </c>
      <c r="K5" s="86" t="s">
        <v>112</v>
      </c>
    </row>
    <row r="6" spans="1:15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91">
        <v>100</v>
      </c>
      <c r="N6" s="90" t="s">
        <v>110</v>
      </c>
      <c r="O6" s="90" t="s">
        <v>111</v>
      </c>
    </row>
    <row r="7" spans="1:15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92">
        <v>1.55</v>
      </c>
      <c r="N7" s="90" t="s">
        <v>19</v>
      </c>
      <c r="O7" s="90">
        <v>350</v>
      </c>
    </row>
    <row r="8" spans="1:15">
      <c r="B8" t="s">
        <v>90</v>
      </c>
      <c r="C8" s="89">
        <v>1.8</v>
      </c>
      <c r="D8" s="89">
        <v>1.55</v>
      </c>
      <c r="E8" s="89">
        <v>2.05</v>
      </c>
      <c r="F8" s="89">
        <v>1.65</v>
      </c>
      <c r="G8" s="89">
        <v>2.2</v>
      </c>
      <c r="H8" s="89">
        <v>1.65</v>
      </c>
      <c r="I8" s="89">
        <v>1.334375</v>
      </c>
      <c r="J8" s="89">
        <v>1.54</v>
      </c>
      <c r="K8"/>
    </row>
    <row r="9" spans="1:15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/>
    </row>
    <row r="10" spans="1:15">
      <c r="B10" t="s">
        <v>92</v>
      </c>
      <c r="C10">
        <v>250</v>
      </c>
      <c r="D10">
        <v>390</v>
      </c>
      <c r="E10">
        <v>199</v>
      </c>
      <c r="F10">
        <v>265</v>
      </c>
      <c r="G10">
        <v>300</v>
      </c>
      <c r="H10">
        <v>275</v>
      </c>
      <c r="I10">
        <v>520</v>
      </c>
      <c r="J10">
        <v>140</v>
      </c>
      <c r="K10">
        <f>SUM(C10:J10)</f>
        <v>2339</v>
      </c>
    </row>
    <row r="11" spans="1:15">
      <c r="B11" t="s">
        <v>93</v>
      </c>
      <c r="C11" s="89">
        <f>C8*C10</f>
        <v>450</v>
      </c>
      <c r="D11" s="89">
        <f>D8*D10</f>
        <v>604.5</v>
      </c>
      <c r="E11" s="89">
        <f>E8*E10</f>
        <v>407.95</v>
      </c>
      <c r="F11" s="89">
        <f>F8*F10</f>
        <v>437.25</v>
      </c>
      <c r="G11" s="89">
        <f>G8*G10</f>
        <v>660</v>
      </c>
      <c r="H11" s="89">
        <f>H8*H10</f>
        <v>453.75</v>
      </c>
      <c r="I11" s="89">
        <f>I8*I10</f>
        <v>693.875</v>
      </c>
      <c r="J11" s="89">
        <f>J8*J10</f>
        <v>215.6</v>
      </c>
      <c r="K11">
        <f>SUM(C11:J11)</f>
        <v>3922.925</v>
      </c>
    </row>
    <row r="12" spans="1:15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/>
    </row>
    <row r="13" spans="1:15">
      <c r="B13" t="s">
        <v>95</v>
      </c>
      <c r="C13" s="93">
        <f>C11/K11</f>
        <v>0.11471032456649</v>
      </c>
      <c r="D13" s="93">
        <f>D11/K11</f>
        <v>0.15409420266765</v>
      </c>
      <c r="E13" s="93">
        <f>E11/K11</f>
        <v>0.10399128201533</v>
      </c>
      <c r="F13" s="93">
        <f>F11/K11</f>
        <v>0.11146019870377</v>
      </c>
      <c r="G13" s="93">
        <f>G11/K11</f>
        <v>0.16824180936419</v>
      </c>
      <c r="H13" s="93">
        <f>H11/K11</f>
        <v>0.11566624393788</v>
      </c>
      <c r="I13" s="93">
        <f>I11/K11</f>
        <v>0.17687694768572</v>
      </c>
      <c r="J13" s="93">
        <f>J11/K11</f>
        <v>0.054958991058967</v>
      </c>
      <c r="K13"/>
    </row>
    <row r="14" spans="1:15">
      <c r="B14" t="s">
        <v>96</v>
      </c>
      <c r="C14" s="89">
        <f>K14*C13</f>
        <v>37.338210646393</v>
      </c>
      <c r="D14" s="89">
        <f>K14*D13</f>
        <v>50.157662968321</v>
      </c>
      <c r="E14" s="89">
        <f>K14*E13</f>
        <v>33.849162295991</v>
      </c>
      <c r="F14" s="89">
        <f>K14*F13</f>
        <v>36.280294678078</v>
      </c>
      <c r="G14" s="89">
        <f>K14*G13</f>
        <v>54.762708948043</v>
      </c>
      <c r="H14" s="89">
        <f>K14*H13</f>
        <v>37.649362401779</v>
      </c>
      <c r="I14" s="89">
        <f>K14*I13</f>
        <v>57.573446471702</v>
      </c>
      <c r="J14" s="89">
        <f>K14*J13</f>
        <v>17.889151589694</v>
      </c>
      <c r="K14">
        <f>IF(K7&lt;1, O7*0.6, O7*0.6*K7)</f>
        <v>325.5</v>
      </c>
    </row>
    <row r="15" spans="1:15">
      <c r="B15" t="s">
        <v>97</v>
      </c>
      <c r="C15" s="89">
        <f>C11+C14</f>
        <v>487.33821064639</v>
      </c>
      <c r="D15" s="89">
        <f>D11+D14</f>
        <v>654.65766296832</v>
      </c>
      <c r="E15" s="89">
        <f>E11+E14</f>
        <v>441.79916229599</v>
      </c>
      <c r="F15" s="89">
        <f>F11+F14</f>
        <v>473.53029467808</v>
      </c>
      <c r="G15" s="89">
        <f>G11+G14</f>
        <v>714.76270894804</v>
      </c>
      <c r="H15" s="89">
        <f>H11+H14</f>
        <v>491.39936240178</v>
      </c>
      <c r="I15" s="89">
        <f>I11+I14</f>
        <v>751.4484464717</v>
      </c>
      <c r="J15" s="89">
        <f>J11+J14</f>
        <v>233.48915158969</v>
      </c>
      <c r="K15"/>
    </row>
    <row r="16" spans="1:15">
      <c r="B16" s="88" t="s">
        <v>98</v>
      </c>
      <c r="C16" s="89">
        <f>C12+C14</f>
        <v>37.338210646393</v>
      </c>
      <c r="D16" s="89">
        <f>D12+D14</f>
        <v>50.157662968321</v>
      </c>
      <c r="E16" s="89">
        <f>E12+E14</f>
        <v>33.849162295991</v>
      </c>
      <c r="F16" s="89">
        <f>F12+F14</f>
        <v>36.280294678078</v>
      </c>
      <c r="G16" s="89">
        <f>G12+G14</f>
        <v>54.762708948043</v>
      </c>
      <c r="H16" s="89">
        <f>H12+H14</f>
        <v>37.649362401779</v>
      </c>
      <c r="I16" s="89">
        <f>I12+I14</f>
        <v>57.573446471702</v>
      </c>
      <c r="J16" s="89">
        <f>J12+J14</f>
        <v>17.889151589694</v>
      </c>
      <c r="K16"/>
    </row>
    <row r="17" spans="1:15">
      <c r="B17" t="s">
        <v>99</v>
      </c>
      <c r="C17" s="89">
        <f>IF(K11&gt;5000,100*C13,50*C13)</f>
        <v>5.7355162283245</v>
      </c>
      <c r="D17" s="89">
        <f>IF(K11&gt;5000,100*D13,50*D13)</f>
        <v>7.7047101333826</v>
      </c>
      <c r="E17" s="89">
        <f>IF(K11&gt;5000,100*E13,50*E13)</f>
        <v>5.1995641007666</v>
      </c>
      <c r="F17" s="89">
        <f>IF(K11&gt;5000,100*F13,50*F13)</f>
        <v>5.5730099351887</v>
      </c>
      <c r="G17" s="89">
        <f>IF(K11&gt;5000,100*G13,50*G13)</f>
        <v>8.4120904682093</v>
      </c>
      <c r="H17" s="89">
        <f>IF(K11&gt;5000,100*H13,50*H13)</f>
        <v>5.7833121968939</v>
      </c>
      <c r="I17" s="89">
        <f>IF(K11&gt;5000,100*I13,50*I13)</f>
        <v>8.843847384286</v>
      </c>
      <c r="J17" s="89">
        <f>IF(K11&gt;5000,100*J13,50*J13)</f>
        <v>2.7479495529484</v>
      </c>
      <c r="K17"/>
    </row>
    <row r="18" spans="1:15">
      <c r="B18" t="s">
        <v>100</v>
      </c>
      <c r="C18" s="89">
        <f>C15+C17</f>
        <v>493.07372687472</v>
      </c>
      <c r="D18" s="89">
        <f>D15+D17</f>
        <v>662.3623731017</v>
      </c>
      <c r="E18" s="89">
        <f>E15+E17</f>
        <v>446.99872639676</v>
      </c>
      <c r="F18" s="89">
        <f>F15+F17</f>
        <v>479.10330461327</v>
      </c>
      <c r="G18" s="89">
        <f>G15+G17</f>
        <v>723.17479941625</v>
      </c>
      <c r="H18" s="89">
        <f>H15+H17</f>
        <v>497.18267459867</v>
      </c>
      <c r="I18" s="89">
        <f>I15+I17</f>
        <v>760.29229385599</v>
      </c>
      <c r="J18" s="89">
        <f>J15+J17</f>
        <v>236.23710114264</v>
      </c>
      <c r="K18"/>
    </row>
    <row r="19" spans="1:15">
      <c r="B19" s="88" t="s">
        <v>101</v>
      </c>
      <c r="C19" s="89">
        <f>C16+C17</f>
        <v>43.073726874717</v>
      </c>
      <c r="D19" s="89">
        <f>D16+D17</f>
        <v>57.862373101703</v>
      </c>
      <c r="E19" s="89">
        <f>E16+E17</f>
        <v>39.048726396758</v>
      </c>
      <c r="F19" s="89">
        <f>F16+F17</f>
        <v>41.853304613267</v>
      </c>
      <c r="G19" s="89">
        <f>G16+G17</f>
        <v>63.174799416252</v>
      </c>
      <c r="H19" s="89">
        <f>H16+H17</f>
        <v>43.432674598673</v>
      </c>
      <c r="I19" s="89">
        <f>I16+I17</f>
        <v>66.417293855988</v>
      </c>
      <c r="J19" s="89">
        <f>J16+J17</f>
        <v>20.637101142642</v>
      </c>
      <c r="K19"/>
    </row>
    <row r="23" spans="1:15">
      <c r="B23" s="85" t="s">
        <v>119</v>
      </c>
      <c r="C23"/>
      <c r="D23"/>
      <c r="E23"/>
    </row>
    <row r="26" spans="1:15">
      <c r="B26" t="s">
        <v>120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f>SUM(C26:J26)</f>
        <v>0</v>
      </c>
    </row>
    <row r="27" spans="1:15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3">
        <f>SUM(C27:J27)</f>
        <v>0</v>
      </c>
    </row>
    <row r="28" spans="1:15">
      <c r="B28" t="s">
        <v>113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SUM(C28:J28)</f>
        <v>0</v>
      </c>
    </row>
    <row r="29" spans="1:15">
      <c r="B29" t="s">
        <v>31</v>
      </c>
      <c r="C29" s="89">
        <f>0.16*(MAX(C19,C18)+C28)</f>
        <v>78.891796299955</v>
      </c>
      <c r="D29" s="89">
        <f>0.16*(MAX(D19,D18)+D28)</f>
        <v>105.97797969627</v>
      </c>
      <c r="E29" s="89">
        <f>0.16*(MAX(E19,E18)+E28)</f>
        <v>71.519796223481</v>
      </c>
      <c r="F29" s="89">
        <f>0.16*(MAX(F19,F18)+F28)</f>
        <v>76.656528738123</v>
      </c>
      <c r="G29" s="89">
        <f>0.16*(MAX(G19,G18)+G28)</f>
        <v>115.7079679066</v>
      </c>
      <c r="H29" s="89">
        <f>0.16*(MAX(H19,H18)+H28)</f>
        <v>79.549227935788</v>
      </c>
      <c r="I29" s="89">
        <f>0.16*(MAX(I19,I18)+I28)</f>
        <v>121.64676701696</v>
      </c>
      <c r="J29" s="89">
        <f>0.16*(MAX(J19,J18)+J28)</f>
        <v>37.797936182823</v>
      </c>
      <c r="K29" s="89">
        <f>SUM(C29:J29)</f>
        <v>687.748</v>
      </c>
    </row>
    <row r="30" spans="1:15">
      <c r="B30" t="s">
        <v>32</v>
      </c>
      <c r="C30" s="89">
        <f>0.02*(MAX(C19,C18)+C28)</f>
        <v>9.8614745374943</v>
      </c>
      <c r="D30" s="89">
        <f>0.02*(MAX(D19,D18)+D28)</f>
        <v>13.247247462034</v>
      </c>
      <c r="E30" s="89">
        <f>0.02*(MAX(E19,E18)+E28)</f>
        <v>8.9399745279351</v>
      </c>
      <c r="F30" s="89">
        <f>0.02*(MAX(F19,F18)+F28)</f>
        <v>9.5820660922653</v>
      </c>
      <c r="G30" s="89">
        <f>0.02*(MAX(G19,G18)+G28)</f>
        <v>14.463495988325</v>
      </c>
      <c r="H30" s="89">
        <f>0.02*(MAX(H19,H18)+H28)</f>
        <v>9.9436534919735</v>
      </c>
      <c r="I30" s="89">
        <f>0.02*(MAX(I19,I18)+I28)</f>
        <v>15.20584587712</v>
      </c>
      <c r="J30" s="89">
        <f>0.02*(MAX(J19,J18)+J28)</f>
        <v>4.7247420228528</v>
      </c>
      <c r="K30" s="89">
        <f>SUM(C30:J30)</f>
        <v>85.9685</v>
      </c>
    </row>
    <row r="31" spans="1:15">
      <c r="B31" t="s">
        <v>114</v>
      </c>
      <c r="C31" s="89">
        <f>0.035*(MAX(C18,C19) +C28+C29+C30)</f>
        <v>20.363944919926</v>
      </c>
      <c r="D31" s="89">
        <f>0.035*(MAX(D18,D19) +D28+D29+D30)</f>
        <v>27.3555660091</v>
      </c>
      <c r="E31" s="89">
        <f>0.035*(MAX(E18,E19) +E28+E29+E30)</f>
        <v>18.461047400186</v>
      </c>
      <c r="F31" s="89">
        <f>0.035*(MAX(F18,F19) +F28+F29+F30)</f>
        <v>19.786966480528</v>
      </c>
      <c r="G31" s="89">
        <f>0.035*(MAX(G18,G19) +G28+G29+G30)</f>
        <v>29.867119215891</v>
      </c>
      <c r="H31" s="89">
        <f>0.035*(MAX(H18,H19) +H28+H29+H30)</f>
        <v>20.533644460925</v>
      </c>
      <c r="I31" s="89">
        <f>0.035*(MAX(I18,I19) +I28+I29+I30)</f>
        <v>31.400071736252</v>
      </c>
      <c r="J31" s="89">
        <f>0.035*(MAX(J18,J19) +J28+J29+J30)</f>
        <v>9.7565922771911</v>
      </c>
      <c r="K31" s="89">
        <f>SUM(C31:J31)</f>
        <v>177.5249525</v>
      </c>
    </row>
    <row r="32" spans="1:15">
      <c r="B32" t="s">
        <v>36</v>
      </c>
      <c r="C32" s="89">
        <f>SUM(C28:C31)</f>
        <v>109.11721575737</v>
      </c>
      <c r="D32" s="89">
        <f>SUM(D28:D31)</f>
        <v>146.58079316741</v>
      </c>
      <c r="E32" s="89">
        <f>SUM(E28:E31)</f>
        <v>98.920818151602</v>
      </c>
      <c r="F32" s="89">
        <f>SUM(F28:F31)</f>
        <v>106.02556131092</v>
      </c>
      <c r="G32" s="89">
        <f>SUM(G28:G31)</f>
        <v>160.03858311082</v>
      </c>
      <c r="H32" s="89">
        <f>SUM(H28:H31)</f>
        <v>110.02652588869</v>
      </c>
      <c r="I32" s="89">
        <f>SUM(I28:I31)</f>
        <v>168.25268463033</v>
      </c>
      <c r="J32" s="89">
        <f>SUM(J28:J31)</f>
        <v>52.279270482867</v>
      </c>
      <c r="K32" s="89">
        <f>SUM(K28:K31)</f>
        <v>951.2414525</v>
      </c>
    </row>
    <row r="37" spans="1:15">
      <c r="B37" s="85" t="s">
        <v>121</v>
      </c>
      <c r="C37"/>
      <c r="D37"/>
      <c r="E37"/>
    </row>
    <row r="40" spans="1:15">
      <c r="B40" t="s">
        <v>115</v>
      </c>
      <c r="C40" s="89">
        <f>C13*K40</f>
        <v>24.892140430928</v>
      </c>
      <c r="D40" s="89">
        <f>D13*K40</f>
        <v>33.438441978881</v>
      </c>
      <c r="E40" s="89">
        <f>E13*K40</f>
        <v>22.566108197327</v>
      </c>
      <c r="F40" s="89">
        <f>F13*K40</f>
        <v>24.186863118719</v>
      </c>
      <c r="G40" s="89">
        <f>G13*K40</f>
        <v>36.508472632028</v>
      </c>
      <c r="H40" s="89">
        <f>H13*K40</f>
        <v>25.09957493452</v>
      </c>
      <c r="I40" s="89">
        <f>I13*K40</f>
        <v>38.382297647801</v>
      </c>
      <c r="J40" s="89">
        <f>J13*K40</f>
        <v>11.926101059796</v>
      </c>
      <c r="K40">
        <f>IF(K7&lt;1, O7*0.4,O7*0.4*K7)</f>
        <v>217</v>
      </c>
    </row>
    <row r="41" spans="1:15">
      <c r="B41"/>
    </row>
    <row r="43" spans="1:15">
      <c r="B43" t="s">
        <v>115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112</v>
      </c>
    </row>
    <row r="44" spans="1:15">
      <c r="B44" t="s">
        <v>116</v>
      </c>
      <c r="C44" s="89">
        <f>SUM(C15,C40,C32,(C26))</f>
        <v>621.3475668347</v>
      </c>
      <c r="D44" s="89">
        <f>SUM(D15,D40,D32,(D26))</f>
        <v>834.67689811461</v>
      </c>
      <c r="E44" s="89">
        <f>SUM(E15,E40,E32,(E26))</f>
        <v>563.28608864492</v>
      </c>
      <c r="F44" s="89">
        <f>SUM(F15,F40,F32,(F26))</f>
        <v>603.74271910771</v>
      </c>
      <c r="G44" s="89">
        <f>SUM(G15,G40,G32,(G26))</f>
        <v>911.30976469089</v>
      </c>
      <c r="H44" s="89">
        <f>SUM(H15,H40,H32,(H26))</f>
        <v>626.52546322499</v>
      </c>
      <c r="I44" s="89">
        <f>SUM(I15,I40,I32,(I26))</f>
        <v>958.08342874983</v>
      </c>
      <c r="J44" s="89">
        <f>SUM(J15,J40,J32,(J26))</f>
        <v>297.69452313236</v>
      </c>
      <c r="K44" s="89">
        <f>SUM(C44:J44)</f>
        <v>5416.6664525</v>
      </c>
    </row>
    <row r="45" spans="1:15">
      <c r="B45" t="s">
        <v>45</v>
      </c>
      <c r="C45">
        <v>250</v>
      </c>
      <c r="D45">
        <v>390</v>
      </c>
      <c r="E45">
        <v>199</v>
      </c>
      <c r="F45">
        <v>265</v>
      </c>
      <c r="G45">
        <v>300</v>
      </c>
      <c r="H45">
        <v>275</v>
      </c>
      <c r="I45">
        <v>520</v>
      </c>
      <c r="J45">
        <v>140</v>
      </c>
      <c r="K45"/>
    </row>
    <row r="46" spans="1:15">
      <c r="B46" t="s">
        <v>117</v>
      </c>
      <c r="C46" s="89">
        <f>SUM(C44/C45)</f>
        <v>2.4853902673388</v>
      </c>
      <c r="D46" s="89">
        <f>SUM(D44/D45)</f>
        <v>2.1401971746528</v>
      </c>
      <c r="E46" s="89">
        <f>SUM(E44/E45)</f>
        <v>2.8305833600247</v>
      </c>
      <c r="F46" s="89">
        <f>SUM(F44/F45)</f>
        <v>2.2782744117272</v>
      </c>
      <c r="G46" s="89">
        <f>SUM(G44/G45)</f>
        <v>3.0376992156363</v>
      </c>
      <c r="H46" s="89">
        <f>SUM(H44/H45)</f>
        <v>2.2782744117272</v>
      </c>
      <c r="I46" s="89">
        <f>SUM(I44/I45)</f>
        <v>1.8424681322112</v>
      </c>
      <c r="J46" s="89">
        <f>SUM(J44/J45)</f>
        <v>2.1263894509454</v>
      </c>
      <c r="K46"/>
    </row>
    <row r="47" spans="1:15">
      <c r="B47" t="s">
        <v>118</v>
      </c>
      <c r="C47" s="95">
        <f>C46*3.7</f>
        <v>9.1959439891535</v>
      </c>
      <c r="D47" s="95">
        <f>D46*3.7</f>
        <v>7.9187295462155</v>
      </c>
      <c r="E47" s="95">
        <f>E46*3.7</f>
        <v>10.473158432091</v>
      </c>
      <c r="F47" s="95">
        <f>F46*3.7</f>
        <v>8.4296153233907</v>
      </c>
      <c r="G47" s="95">
        <f>G46*3.7</f>
        <v>11.239487097854</v>
      </c>
      <c r="H47" s="95">
        <f>H46*3.7</f>
        <v>8.4296153233907</v>
      </c>
      <c r="I47" s="95">
        <f>I46*3.7</f>
        <v>6.8171320891815</v>
      </c>
      <c r="J47" s="95">
        <f>J46*3.7</f>
        <v>7.867640968498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