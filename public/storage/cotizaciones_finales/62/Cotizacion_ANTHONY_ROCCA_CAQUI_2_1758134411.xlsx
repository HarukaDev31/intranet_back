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<sst xmlns="http://schemas.openxmlformats.org/spreadsheetml/2006/main" uniqueCount="115">
  <si>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</si>
  <si>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</si>
  <si>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</si>
  <si>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</si>
  <si>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ANTHONY ROCCA CAQUI 2</t>
  </si>
  <si>
    <t>SERVICIO:</t>
  </si>
  <si>
    <t>CARGA CONSOLIDADA</t>
  </si>
  <si>
    <t>N° CAJAS:</t>
  </si>
  <si>
    <t>APELLIDO:</t>
  </si>
  <si>
    <t>FECHA:</t>
  </si>
  <si>
    <t>PESO:</t>
  </si>
  <si>
    <t>22.3 Kg</t>
  </si>
  <si>
    <t>DNI/RUC:</t>
  </si>
  <si>
    <t>ORIGEN:</t>
  </si>
  <si>
    <t>CHINA</t>
  </si>
  <si>
    <t>MEDIDA:</t>
  </si>
  <si>
    <t>TELEFONO:</t>
  </si>
  <si>
    <t>51 951880948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</si>
  <si>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</si>
  <si>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</si>
  <si>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</si>
  <si>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</si>
  <si>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</si>
  <si>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</si>
  <si>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</si>
  <si>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</si>
  <si>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</si>
  <si>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</si>
  <si>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</si>
  <si>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</si>
  <si>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</si>
  <si>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</si>
  <si>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</si>
  <si>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</si>
  <si>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</si>
  <si>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</si>
  <si>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</si>
  <si>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</si>
  <si>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</si>
  <si>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</si>
  <si>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</si>
  <si>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</si>
  <si>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</si>
  <si>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</si>
  <si>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</si>
  <si>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</si>
  <si>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</si>
  <si>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</si>
  <si>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</si>
  <si>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</si>
  <si>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</si>
  <si>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</si>
  <si>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</si>
  <si>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</si>
  <si>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</si>
  <si>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</si>
  <si>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</si>
  <si>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</si>
  <si>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</si>
  <si>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</si>
  <si>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</si>
  <si>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</si>
  <si>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</si>
  <si>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</si>
  <si>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</si>
  <si>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</si>
  <si>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</si>
  <si>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</si>
  <si>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</si>
  <si>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</si>
  <si>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</si>
  <si>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</si>
  <si>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</si>
  <si>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</si>
  <si>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</si>
  <si>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</si>
  <si>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</si>
  <si>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</si>
  <si>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</si>
  <si>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</si>
  <si>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</si>
  <si>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</si>
  <si>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</si>
  <si>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</si>
  <si>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</si>
  <si>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ANTHONY ROCCA CAQUI 2 😁 un gusto saludarte!
A continuación te envío la cotización final de tu importación📋📦.
🙋‍♂️ PAGO PENDIENTE :
☑️Costo CBM: $0
☑️Impuestos: $419.14
☑️ Total: $419.14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</si>
  <si>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</si>
  <si>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</si>
  <si>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</si>
  <si>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</si>
  <si>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</si>
  <si>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</si>
  <si>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</si>
  <si>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</si>
  <si>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</si>
  <si>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</si>
  <si>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</si>
  <si>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</si>
  <si>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</si>
  <si>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</si>
  <si>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</si>
  <si>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</si>
  <si>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MOCHILA VIAJERA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</si>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</sst>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2.88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2300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3740.0765229919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2300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'2'!C40, '2'!C40*J11)</f>
        <v>0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K20+K21+K22+K25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K29+K30+K31</f>
        <v>2719.1356261956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250</v>
      </c>
      <c r="G36" s="66">
        <f>+'2'!$C$10</f>
        <v>250</v>
      </c>
      <c r="H36" s="67"/>
      <c r="I36" s="27">
        <f>+'2'!$C$46</f>
        <v>332.3992373344</v>
      </c>
      <c r="J36" s="27">
        <f>+F36*I36</f>
        <v>83099.809333599</v>
      </c>
      <c r="K36" s="54">
        <f>I36*3.7</f>
        <v>1229.8771781373</v>
      </c>
      <c r="L36" s="54"/>
    </row>
    <row r="37" spans="1:14">
      <c r="B37" s="18">
        <v>2</v>
      </c>
      <c r="C37" s="63">
        <f>+'2'!$D$6</f>
        <v>22.3</v>
      </c>
      <c r="D37" s="64"/>
      <c r="E37" s="65"/>
      <c r="F37" s="4">
        <f>+'2'!$D$45</f>
        <v/>
      </c>
      <c r="G37" s="66">
        <f>+'2'!$D$10</f>
        <v>250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250</v>
      </c>
      <c r="G39" s="2"/>
      <c r="H39" s="2"/>
      <c r="J39" s="28">
        <f>+SUM(J36:J38)</f>
        <v>83099.809333599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18.71" bestFit="true" customWidth="true" style="0"/>
    <col min="4" max="4" width="10.569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22.3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0.06</v>
      </c>
      <c r="G7" s="90" t="s">
        <v>19</v>
      </c>
      <c r="H7" s="90">
        <v>325</v>
      </c>
    </row>
    <row r="8" spans="1:8">
      <c r="B8" t="s">
        <v>90</v>
      </c>
      <c r="C8" s="89">
        <v>9.2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250</v>
      </c>
      <c r="D10">
        <f>SUM(C10:C10)</f>
        <v>250</v>
      </c>
    </row>
    <row r="11" spans="1:8">
      <c r="B11" t="s">
        <v>93</v>
      </c>
      <c r="C11" s="89">
        <f>C8*C10</f>
        <v>2300</v>
      </c>
      <c r="D11">
        <f>SUM(C11:C11)</f>
        <v>2300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195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82680</v>
      </c>
      <c r="D40">
        <f>IF(D7&lt;1, H7*0.4,H7*0.4*D7)</f>
        <v>130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83099.809333599</v>
      </c>
      <c r="D44" s="89">
        <f>SUM(C44:C44)</f>
        <v>83099.809333599</v>
      </c>
    </row>
    <row r="45" spans="1:8">
      <c r="B45" t="s">
        <v>45</v>
      </c>
      <c r="C45">
        <v>250</v>
      </c>
      <c r="D45"/>
    </row>
    <row r="46" spans="1:8">
      <c r="B46" t="s">
        <v>110</v>
      </c>
      <c r="C46" s="89">
        <f>SUM(C44/C45)</f>
        <v>332.3992373344</v>
      </c>
      <c r="D46"/>
    </row>
    <row r="47" spans="1:8">
      <c r="B47" t="s">
        <v>111</v>
      </c>
      <c r="C47" s="95">
        <f>C46*3.7</f>
        <v>1229.8771781373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