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<sst xmlns="http://schemas.openxmlformats.org/spreadsheetml/2006/main" uniqueCount="115">
  <si>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</si>
  <si>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</si>
  <si>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</si>
  <si>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</si>
  <si>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AQUILES TORRES</t>
  </si>
  <si>
    <t>SERVICIO:</t>
  </si>
  <si>
    <t>CARGA CONSOLIDADA</t>
  </si>
  <si>
    <t>N° CAJAS:</t>
  </si>
  <si>
    <t>APELLIDO:</t>
  </si>
  <si>
    <t>FECHA:</t>
  </si>
  <si>
    <t>PESO:</t>
  </si>
  <si>
    <t>110 Kg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</si>
  <si>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</si>
  <si>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</si>
  <si>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</si>
  <si>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</si>
  <si>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</si>
  <si>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</si>
  <si>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</si>
  <si>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</si>
  <si>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</si>
  <si>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</si>
  <si>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</si>
  <si>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</si>
  <si>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</si>
  <si>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</si>
  <si>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</si>
  <si>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</si>
  <si>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</si>
  <si>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</si>
  <si>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</si>
  <si>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</si>
  <si>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</si>
  <si>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</si>
  <si>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</si>
  <si>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</si>
  <si>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</si>
  <si>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</si>
  <si>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</si>
  <si>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</si>
  <si>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</si>
  <si>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</si>
  <si>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</si>
  <si>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</si>
  <si>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</si>
  <si>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</si>
  <si>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</si>
  <si>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</si>
  <si>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</si>
  <si>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</si>
  <si>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</si>
  <si>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</si>
  <si>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</si>
  <si>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</si>
  <si>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</si>
  <si>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</si>
  <si>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</si>
  <si>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</si>
  <si>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</si>
  <si>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</si>
  <si>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</si>
  <si>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</si>
  <si>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</si>
  <si>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</si>
  <si>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</si>
  <si>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</si>
  <si>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</si>
  <si>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</si>
  <si>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</si>
  <si>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</si>
  <si>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</si>
  <si>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</si>
  <si>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</si>
  <si>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</si>
  <si>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</si>
  <si>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</si>
  <si>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</si>
  <si>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</si>
  <si>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</si>
  <si>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</si>
  <si>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</si>
  <si>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</si>
  <si>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</si>
  <si>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</si>
  <si>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AQUILES TORRES 😁 un gusto saludarte!
A continuación te envío la cotización final de tu importación📋📦.
🙋‍♂️ PAGO PENDIENTE :
☑️Costo CBM: $8.03
☑️Impuestos: $4.68
☑️ Total: $12.71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</si>
  <si>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</si>
  <si>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</si>
  <si>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</si>
  <si>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</si>
  <si>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</si>
  <si>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</si>
  <si>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</si>
  <si>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</si>
  <si>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</si>
  <si>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</si>
  <si>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</si>
  <si>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</si>
  <si>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</si>
  <si>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</si>
  <si>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</si>
  <si>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</si>
  <si>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PANTALLA DE VIDRIO DE 14"</t>
  </si>
  <si>
    <t>PANTALLA DE VIDRIO DE 15.6"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</si>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</sst>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51948105071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0.5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'2'!D11</f>
        <v>2115.5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'2'!D14 + '2'!D17</f>
        <v>18.182098238403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2133.6820982384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'2'!D28</f>
        <v>1.692384403038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'2'!D29</f>
        <v>0.21154805037975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'2'!D30</f>
        <v>0.43684672403419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2.340779177452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'2'!D31</f>
        <v>2.340779177452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4.681558354904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2115.5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'2'!D14, '2'!D14*J11)</f>
        <v>8.03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K26</f>
        <v>4.681558354904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2128.2115583549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142</v>
      </c>
      <c r="G36" s="66">
        <f>+'2'!$C$10</f>
        <v>142</v>
      </c>
      <c r="H36" s="67"/>
      <c r="I36" s="27">
        <f>+'2'!$C$46</f>
        <v>2056.5493846056</v>
      </c>
      <c r="J36" s="27">
        <f>+F36*I36</f>
        <v>292030.012614</v>
      </c>
      <c r="K36" s="54">
        <f>I36*3.7</f>
        <v>7609.2327230408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81</v>
      </c>
      <c r="G37" s="66">
        <f>+'2'!$D$10</f>
        <v>81</v>
      </c>
      <c r="H37" s="67"/>
      <c r="I37" s="27">
        <f>+'2'!$D$46</f>
        <v>14.333457585685</v>
      </c>
      <c r="J37" s="27">
        <f>+F37*I37</f>
        <v>1161.0100644405</v>
      </c>
      <c r="K37" s="54">
        <f>I37*3.7</f>
        <v>53.033793067036</v>
      </c>
      <c r="L37" s="54"/>
    </row>
    <row r="38" spans="1:14">
      <c r="B38" s="18">
        <v>3</v>
      </c>
      <c r="C38" s="63">
        <f>+'2'!$E$6</f>
        <v>110</v>
      </c>
      <c r="D38" s="64"/>
      <c r="E38" s="65"/>
      <c r="F38" s="4">
        <f>+'2'!$E$45</f>
        <v/>
      </c>
      <c r="G38" s="66">
        <f>+'2'!$E$10</f>
        <v>223</v>
      </c>
      <c r="H38" s="67"/>
      <c r="I38" s="27">
        <f>+'2'!$E$46</f>
        <v/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223</v>
      </c>
      <c r="G39" s="2"/>
      <c r="H39" s="2"/>
      <c r="J39" s="28">
        <f>+SUM(J36:J38)</f>
        <v>293191.02267844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7"/>
  <sheetViews>
    <sheetView tabSelected="1" workbookViewId="0" showGridLines="true" showRowColHeaders="1">
      <selection activeCell="E44" sqref="E44"/>
    </sheetView>
  </sheetViews>
  <sheetFormatPr defaultRowHeight="14.4" outlineLevelRow="0" outlineLevelCol="0"/>
  <cols>
    <col min="2" max="2" width="24.708" bestFit="true" customWidth="true" style="0"/>
    <col min="3" max="3" width="30.564" bestFit="true" customWidth="true" style="0"/>
    <col min="4" max="4" width="32.992" bestFit="true" customWidth="true" style="0"/>
    <col min="5" max="5" width="11.711" bestFit="true" customWidth="true" style="0"/>
  </cols>
  <sheetData>
    <row r="3" spans="1:9">
      <c r="B3" s="85" t="s">
        <v>85</v>
      </c>
      <c r="C3"/>
      <c r="D3"/>
      <c r="E3"/>
      <c r="F3"/>
      <c r="G3"/>
    </row>
    <row r="5" spans="1:9">
      <c r="B5" s="87" t="s">
        <v>86</v>
      </c>
      <c r="C5" s="86" t="s">
        <v>101</v>
      </c>
      <c r="D5" s="86" t="s">
        <v>102</v>
      </c>
      <c r="E5" s="86" t="s">
        <v>105</v>
      </c>
    </row>
    <row r="6" spans="1:9">
      <c r="B6" t="s">
        <v>87</v>
      </c>
      <c r="C6">
        <v>0</v>
      </c>
      <c r="D6">
        <v>0</v>
      </c>
      <c r="E6" s="91">
        <v>110</v>
      </c>
      <c r="H6" s="90" t="s">
        <v>103</v>
      </c>
      <c r="I6" s="90" t="s">
        <v>104</v>
      </c>
    </row>
    <row r="7" spans="1:9">
      <c r="B7" t="s">
        <v>88</v>
      </c>
      <c r="C7">
        <v>0</v>
      </c>
      <c r="D7">
        <v>0</v>
      </c>
      <c r="E7" s="92">
        <v>0.48</v>
      </c>
      <c r="H7" s="90" t="s">
        <v>18</v>
      </c>
      <c r="I7" s="90">
        <v>360.0</v>
      </c>
    </row>
    <row r="8" spans="1:9">
      <c r="B8" t="s">
        <v>89</v>
      </c>
      <c r="C8" s="89">
        <v>21.035211267606</v>
      </c>
      <c r="D8" s="89">
        <v>26.117283950617</v>
      </c>
      <c r="E8"/>
    </row>
    <row r="9" spans="1:9">
      <c r="B9" s="88" t="s">
        <v>90</v>
      </c>
      <c r="C9" s="89">
        <v>0</v>
      </c>
      <c r="D9" s="89">
        <v>0</v>
      </c>
      <c r="E9"/>
    </row>
    <row r="10" spans="1:9">
      <c r="B10" t="s">
        <v>91</v>
      </c>
      <c r="C10">
        <v>142</v>
      </c>
      <c r="D10">
        <v>81</v>
      </c>
      <c r="E10">
        <f>SUM(C10:D10)</f>
        <v>223</v>
      </c>
    </row>
    <row r="11" spans="1:9">
      <c r="B11" t="s">
        <v>92</v>
      </c>
      <c r="C11" s="89">
        <f>C8*C10</f>
        <v>2987.0000000001</v>
      </c>
      <c r="D11" s="89">
        <f>D8*D10</f>
        <v>2115.5</v>
      </c>
      <c r="E11">
        <f>SUM(C11:D11)</f>
        <v>5102.5</v>
      </c>
    </row>
    <row r="12" spans="1:9">
      <c r="B12" s="88" t="s">
        <v>93</v>
      </c>
      <c r="C12" s="89">
        <f>C10*C9</f>
        <v>0</v>
      </c>
      <c r="D12" s="89">
        <f>D10*D9</f>
        <v>0</v>
      </c>
      <c r="E12"/>
    </row>
    <row r="13" spans="1:9">
      <c r="B13" t="s">
        <v>94</v>
      </c>
      <c r="C13" s="93">
        <f>C11/E11</f>
        <v>636</v>
      </c>
      <c r="D13" s="93">
        <f>D11/E11</f>
        <v>8.03</v>
      </c>
      <c r="E13"/>
    </row>
    <row r="14" spans="1:9">
      <c r="B14" t="s">
        <v>95</v>
      </c>
      <c r="C14" s="89">
        <f>E14*C13</f>
        <v>137376</v>
      </c>
      <c r="D14" s="89">
        <f>E14*D13</f>
        <v>8.03</v>
      </c>
      <c r="E14">
        <f>IF(E7&lt;1, I7*0.6, I7*0.6*E7)</f>
        <v>216</v>
      </c>
    </row>
    <row r="15" spans="1:9">
      <c r="B15" t="s">
        <v>96</v>
      </c>
      <c r="C15" s="89">
        <f>C11+C14</f>
        <v>140363</v>
      </c>
      <c r="D15" s="89">
        <f>D11+D14</f>
        <v>0.0085060856116861</v>
      </c>
      <c r="E15"/>
    </row>
    <row r="16" spans="1:9">
      <c r="B16" s="88" t="s">
        <v>97</v>
      </c>
      <c r="C16" s="89">
        <f>C12+C14</f>
        <v>137376</v>
      </c>
      <c r="D16" s="89">
        <f>D12+D14</f>
        <v>2.1220982384034</v>
      </c>
      <c r="E16"/>
    </row>
    <row r="17" spans="1:9">
      <c r="B17" t="s">
        <v>98</v>
      </c>
      <c r="C17" s="89">
        <f>IF(E11&gt;5000,100*C13,50*C13)</f>
        <v>63600</v>
      </c>
      <c r="D17" s="89">
        <f>IF(E11&gt;5000,100*D13,50*D13)</f>
        <v>10.152098238403</v>
      </c>
      <c r="E17"/>
    </row>
    <row r="18" spans="1:9">
      <c r="B18" t="s">
        <v>99</v>
      </c>
      <c r="C18" s="89">
        <f>C15+C17</f>
        <v>203963</v>
      </c>
      <c r="D18" s="89">
        <f>D15+D17</f>
        <v>10.160604324015</v>
      </c>
      <c r="E18"/>
    </row>
    <row r="19" spans="1:9">
      <c r="B19" s="88" t="s">
        <v>100</v>
      </c>
      <c r="C19" s="89">
        <f>C16+C17</f>
        <v>200976</v>
      </c>
      <c r="D19" s="89">
        <f>D16+D17</f>
        <v>0.4253042805843</v>
      </c>
      <c r="E19"/>
    </row>
    <row r="23" spans="1:9">
      <c r="B23" s="85" t="s">
        <v>112</v>
      </c>
      <c r="C23"/>
      <c r="D23"/>
      <c r="E23"/>
    </row>
    <row r="26" spans="1:9">
      <c r="B26" t="s">
        <v>113</v>
      </c>
      <c r="C26" s="89">
        <v>0</v>
      </c>
      <c r="D26" s="89">
        <v>0</v>
      </c>
      <c r="E26" s="89">
        <f>SUM(C26:D26)</f>
        <v>0</v>
      </c>
    </row>
    <row r="27" spans="1:9">
      <c r="C27" s="94">
        <v>0.06</v>
      </c>
      <c r="D27" s="94">
        <v>0.06</v>
      </c>
      <c r="E27" s="93">
        <f>SUM(C27:D27)</f>
        <v>0.12</v>
      </c>
    </row>
    <row r="28" spans="1:9">
      <c r="B28" t="s">
        <v>106</v>
      </c>
      <c r="C28" s="89">
        <f>MAX(C19,C18)*C27</f>
        <v>12237.78</v>
      </c>
      <c r="D28" s="89">
        <f>MAX(D19,D18)*D27</f>
        <v>1.692384403038</v>
      </c>
      <c r="E28" s="89">
        <f>SUM(C28:D28)</f>
        <v>12239.472384403</v>
      </c>
    </row>
    <row r="29" spans="1:9">
      <c r="B29" t="s">
        <v>30</v>
      </c>
      <c r="C29" s="89">
        <f>0.16*(MAX(C19,C18)+C28)</f>
        <v>34592.1248</v>
      </c>
      <c r="D29" s="89">
        <f>0.16*(MAX(D19,D18)+D28)</f>
        <v>0.21154805037975</v>
      </c>
      <c r="E29" s="89">
        <f>SUM(C29:D29)</f>
        <v>34592.33634805</v>
      </c>
    </row>
    <row r="30" spans="1:9">
      <c r="B30" t="s">
        <v>31</v>
      </c>
      <c r="C30" s="89">
        <f>0.02*(MAX(C19,C18)+C28)</f>
        <v>4324.0156</v>
      </c>
      <c r="D30" s="89">
        <f>0.02*(MAX(D19,D18)+D28)</f>
        <v>0.43684672403419</v>
      </c>
      <c r="E30" s="89">
        <f>SUM(C30:D30)</f>
        <v>4324.452446724</v>
      </c>
    </row>
    <row r="31" spans="1:9">
      <c r="B31" t="s">
        <v>107</v>
      </c>
      <c r="C31" s="89">
        <f>0.035*(MAX(C18,C19) +C28+C29+C30)</f>
        <v>8929.092214</v>
      </c>
      <c r="D31" s="89">
        <f>0.035*(MAX(D18,D19) +D28+D29+D30)</f>
        <v>2.340779177452</v>
      </c>
      <c r="E31" s="89">
        <f>SUM(C31:D31)</f>
        <v>8931.4329931775</v>
      </c>
    </row>
    <row r="32" spans="1:9">
      <c r="B32" t="s">
        <v>35</v>
      </c>
      <c r="C32" s="89">
        <f>SUM(C28:C31)</f>
        <v>60083.012614</v>
      </c>
      <c r="D32" s="89">
        <f>SUM(D28:D31)</f>
        <v>4.681558354904</v>
      </c>
      <c r="E32" s="89">
        <f>SUM(E28:E31)</f>
        <v>60087.694172355</v>
      </c>
    </row>
    <row r="37" spans="1:9">
      <c r="B37" s="85" t="s">
        <v>114</v>
      </c>
      <c r="C37"/>
      <c r="D37"/>
      <c r="E37"/>
    </row>
    <row r="40" spans="1:9">
      <c r="B40" t="s">
        <v>108</v>
      </c>
      <c r="C40" s="89">
        <f>C13*E40</f>
        <v>91584</v>
      </c>
      <c r="D40" s="89">
        <f>D13*E40</f>
        <v>1156.32</v>
      </c>
      <c r="E40">
        <f>IF(E7&lt;1, I7*0.4,I7*0.4*E7)</f>
        <v>144</v>
      </c>
    </row>
    <row r="41" spans="1:9">
      <c r="B41"/>
    </row>
    <row r="43" spans="1:9">
      <c r="B43" t="s">
        <v>108</v>
      </c>
      <c r="C43" t="s">
        <v>101</v>
      </c>
      <c r="D43" t="s">
        <v>102</v>
      </c>
      <c r="E43" t="s">
        <v>105</v>
      </c>
    </row>
    <row r="44" spans="1:9">
      <c r="B44" t="s">
        <v>109</v>
      </c>
      <c r="C44" s="89">
        <f>SUM(C15,C40,C32,(C26))</f>
        <v>292030.012614</v>
      </c>
      <c r="D44" s="89">
        <f>SUM(D15,D40,D32,(D26))</f>
        <v>1161.0100644405</v>
      </c>
      <c r="E44" s="89">
        <f>SUM(C44:D44)</f>
        <v>293191.02267844</v>
      </c>
    </row>
    <row r="45" spans="1:9">
      <c r="B45" t="s">
        <v>44</v>
      </c>
      <c r="C45">
        <v>142</v>
      </c>
      <c r="D45">
        <v>81</v>
      </c>
      <c r="E45"/>
    </row>
    <row r="46" spans="1:9">
      <c r="B46" t="s">
        <v>110</v>
      </c>
      <c r="C46" s="89">
        <f>SUM(C44/C45)</f>
        <v>2056.5493846056</v>
      </c>
      <c r="D46" s="89">
        <f>SUM(D44/D45)</f>
        <v>14.333457585685</v>
      </c>
      <c r="E46"/>
    </row>
    <row r="47" spans="1:9">
      <c r="B47" t="s">
        <v>111</v>
      </c>
      <c r="C47" s="95">
        <f>C46*3.7</f>
        <v>7609.2327230408</v>
      </c>
      <c r="D47" s="95">
        <f>D46*3.7</f>
        <v>53.033793067036</v>
      </c>
      <c r="E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