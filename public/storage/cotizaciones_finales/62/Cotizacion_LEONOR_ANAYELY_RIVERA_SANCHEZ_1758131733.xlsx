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<sst xmlns="http://schemas.openxmlformats.org/spreadsheetml/2006/main" uniqueCount="116">
  <si>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</si>
  <si>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</si>
  <si>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</si>
  <si>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</si>
  <si>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LEONOR ANAYELY RIVERA SANCHEZ</t>
  </si>
  <si>
    <t>SERVICIO:</t>
  </si>
  <si>
    <t>CARGA CONSOLIDADA</t>
  </si>
  <si>
    <t>N° CAJAS:</t>
  </si>
  <si>
    <t>APELLIDO:</t>
  </si>
  <si>
    <t>FECHA:</t>
  </si>
  <si>
    <t>PESO:</t>
  </si>
  <si>
    <t>116 Kg</t>
  </si>
  <si>
    <t>DNI/RUC:</t>
  </si>
  <si>
    <t>ORIGEN:</t>
  </si>
  <si>
    <t>CHINA</t>
  </si>
  <si>
    <t>MEDIDA:</t>
  </si>
  <si>
    <t>TELEFONO:</t>
  </si>
  <si>
    <t>51 928252181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</si>
  <si>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</si>
  <si>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</si>
  <si>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</si>
  <si>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</si>
  <si>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</si>
  <si>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</si>
  <si>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</si>
  <si>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</si>
  <si>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</si>
  <si>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</si>
  <si>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</si>
  <si>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</si>
  <si>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</si>
  <si>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</si>
  <si>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</si>
  <si>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</si>
  <si>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</si>
  <si>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</si>
  <si>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</si>
  <si>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</si>
  <si>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</si>
  <si>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</si>
  <si>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</si>
  <si>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</si>
  <si>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</si>
  <si>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</si>
  <si>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</si>
  <si>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</si>
  <si>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</si>
  <si>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</si>
  <si>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</si>
  <si>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</si>
  <si>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</si>
  <si>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</si>
  <si>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</si>
  <si>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</si>
  <si>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</si>
  <si>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</si>
  <si>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</si>
  <si>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</si>
  <si>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</si>
  <si>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</si>
  <si>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</si>
  <si>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</si>
  <si>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</si>
  <si>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</si>
  <si>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</si>
  <si>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</si>
  <si>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</si>
  <si>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</si>
  <si>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</si>
  <si>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</si>
  <si>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</si>
  <si>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</si>
  <si>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</si>
  <si>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</si>
  <si>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</si>
  <si>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</si>
  <si>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</si>
  <si>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</si>
  <si>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</si>
  <si>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</si>
  <si>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</si>
  <si>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</si>
  <si>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</si>
  <si>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</si>
  <si>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</si>
  <si>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LEONOR ANAYELY RIVERA SANCHEZ 😁 un gusto saludarte!
A continuación te envío la cotización final de tu importación📋📦.
🙋‍♂️ PAGO PENDIENTE :
☑️Costo CBM: $8.03
☑️Impuestos: $4.68
☑️ Total: $12.71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</si>
  <si>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</si>
  <si>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</si>
  <si>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</si>
  <si>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</si>
  <si>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</si>
  <si>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</si>
  <si>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</si>
  <si>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</si>
  <si>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</si>
  <si>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</si>
  <si>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</si>
  <si>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</si>
  <si>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</si>
  <si>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</si>
  <si>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</si>
  <si>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</si>
  <si>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PISTOLA DE AGUA PARA INODORO</t>
  </si>
  <si>
    <t>ORGANIZADOR DE BAÑO SET DE 5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</si>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</sst>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0.82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590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18.182098238403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608.1820982384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590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'2'!D14, '2'!D14*J11)</f>
        <v>8.03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602.7115583549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120</v>
      </c>
      <c r="G36" s="66">
        <f>+'2'!$C$10</f>
        <v>120</v>
      </c>
      <c r="H36" s="67"/>
      <c r="I36" s="27">
        <f>+'2'!$C$46</f>
        <v>2375.6084725</v>
      </c>
      <c r="J36" s="27">
        <f>+F36*I36</f>
        <v>285073.0167</v>
      </c>
      <c r="K36" s="54">
        <f>I36*3.7</f>
        <v>8789.75134825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100</v>
      </c>
      <c r="G37" s="66">
        <f>+'2'!$D$10</f>
        <v>100</v>
      </c>
      <c r="H37" s="67"/>
      <c r="I37" s="27">
        <f>+'2'!$D$46</f>
        <v>12.413100644405</v>
      </c>
      <c r="J37" s="27">
        <f>+F37*I37</f>
        <v>1241.3100644405</v>
      </c>
      <c r="K37" s="54">
        <f>I37*3.7</f>
        <v>45.928472384299</v>
      </c>
      <c r="L37" s="54"/>
    </row>
    <row r="38" spans="1:14">
      <c r="B38" s="18">
        <v>3</v>
      </c>
      <c r="C38" s="63">
        <f>+'2'!$E$6</f>
        <v>116</v>
      </c>
      <c r="D38" s="64"/>
      <c r="E38" s="65"/>
      <c r="F38" s="4">
        <f>+'2'!$E$45</f>
        <v/>
      </c>
      <c r="G38" s="66">
        <f>+'2'!$E$10</f>
        <v>220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220</v>
      </c>
      <c r="G39" s="2"/>
      <c r="H39" s="2"/>
      <c r="J39" s="28">
        <f>+SUM(J36:J38)</f>
        <v>286314.32676444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4.135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116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1.1</v>
      </c>
      <c r="H7" s="90" t="s">
        <v>19</v>
      </c>
      <c r="I7" s="90">
        <v>350</v>
      </c>
    </row>
    <row r="8" spans="1:9">
      <c r="B8" t="s">
        <v>90</v>
      </c>
      <c r="C8" s="89">
        <v>4.525</v>
      </c>
      <c r="D8" s="89">
        <v>5.9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120</v>
      </c>
      <c r="D10">
        <v>100</v>
      </c>
      <c r="E10">
        <f>SUM(C10:D10)</f>
        <v>220</v>
      </c>
    </row>
    <row r="11" spans="1:9">
      <c r="B11" t="s">
        <v>93</v>
      </c>
      <c r="C11" s="89">
        <f>C8*C10</f>
        <v>543</v>
      </c>
      <c r="D11" s="89">
        <f>D8*D10</f>
        <v>590</v>
      </c>
      <c r="E11">
        <f>SUM(C11:D11)</f>
        <v>1133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146916</v>
      </c>
      <c r="D14" s="89">
        <f>E14*D13</f>
        <v>8.03</v>
      </c>
      <c r="E14">
        <f>IF(E7&lt;1, I7*0.6, I7*0.6*E7)</f>
        <v>231</v>
      </c>
    </row>
    <row r="15" spans="1:9">
      <c r="B15" t="s">
        <v>97</v>
      </c>
      <c r="C15" s="89">
        <f>C11+C14</f>
        <v>147459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146916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179259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178716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0.06</v>
      </c>
      <c r="E27" s="93">
        <f>SUM(C27:D27)</f>
        <v>0.06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28681.44</v>
      </c>
      <c r="D29" s="89">
        <f>0.16*(MAX(D19,D18)+D28)</f>
        <v>0.21154805037975</v>
      </c>
      <c r="E29" s="89">
        <f>SUM(C29:D29)</f>
        <v>28681.65154805</v>
      </c>
    </row>
    <row r="30" spans="1:9">
      <c r="B30" t="s">
        <v>32</v>
      </c>
      <c r="C30" s="89">
        <f>0.02*(MAX(C19,C18)+C28)</f>
        <v>3585.18</v>
      </c>
      <c r="D30" s="89">
        <f>0.02*(MAX(D19,D18)+D28)</f>
        <v>0.43684672403419</v>
      </c>
      <c r="E30" s="89">
        <f>SUM(C30:D30)</f>
        <v>3585.616846724</v>
      </c>
    </row>
    <row r="31" spans="1:9">
      <c r="B31" t="s">
        <v>108</v>
      </c>
      <c r="C31" s="89">
        <f>0.035*(MAX(C18,C19) +C28+C29+C30)</f>
        <v>7403.3967</v>
      </c>
      <c r="D31" s="89">
        <f>0.035*(MAX(D18,D19) +D28+D29+D30)</f>
        <v>2.340779177452</v>
      </c>
      <c r="E31" s="89">
        <f>SUM(C31:D31)</f>
        <v>7405.7374791775</v>
      </c>
    </row>
    <row r="32" spans="1:9">
      <c r="B32" t="s">
        <v>36</v>
      </c>
      <c r="C32" s="89">
        <f>SUM(C28:C31)</f>
        <v>39670.0167</v>
      </c>
      <c r="D32" s="89">
        <f>SUM(D28:D31)</f>
        <v>4.681558354904</v>
      </c>
      <c r="E32" s="89">
        <f>SUM(E28:E31)</f>
        <v>39674.698258355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97944</v>
      </c>
      <c r="D40" s="89">
        <f>D13*E40</f>
        <v>1236.62</v>
      </c>
      <c r="E40">
        <f>IF(E7&lt;1, I7*0.4,I7*0.4*E7)</f>
        <v>154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285073.0167</v>
      </c>
      <c r="D44" s="89">
        <f>SUM(D15,D40,D32,(D26))</f>
        <v>1241.3100644405</v>
      </c>
      <c r="E44" s="89">
        <f>SUM(C44:D44)</f>
        <v>286314.32676444</v>
      </c>
    </row>
    <row r="45" spans="1:9">
      <c r="B45" t="s">
        <v>45</v>
      </c>
      <c r="C45">
        <v>120</v>
      </c>
      <c r="D45">
        <v>100</v>
      </c>
      <c r="E45"/>
    </row>
    <row r="46" spans="1:9">
      <c r="B46" t="s">
        <v>111</v>
      </c>
      <c r="C46" s="89">
        <f>SUM(C44/C45)</f>
        <v>2375.6084725</v>
      </c>
      <c r="D46" s="89">
        <f>SUM(D44/D45)</f>
        <v>12.413100644405</v>
      </c>
      <c r="E46"/>
    </row>
    <row r="47" spans="1:9">
      <c r="B47" t="s">
        <v>112</v>
      </c>
      <c r="C47" s="95">
        <f>C46*3.7</f>
        <v>8789.75134825</v>
      </c>
      <c r="D47" s="95">
        <f>D46*3.7</f>
        <v>45.928472384299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