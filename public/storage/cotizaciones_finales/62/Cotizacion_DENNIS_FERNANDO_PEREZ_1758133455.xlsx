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<sst xmlns="http://schemas.openxmlformats.org/spreadsheetml/2006/main" uniqueCount="114">
  <si>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</si>
  <si>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</si>
  <si>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</si>
  <si>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</si>
  <si>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DENNIS FERNANDO PEREZ</t>
  </si>
  <si>
    <t>SERVICIO:</t>
  </si>
  <si>
    <t>CARGA CONSOLIDADA</t>
  </si>
  <si>
    <t>N° CAJAS:</t>
  </si>
  <si>
    <t>APELLIDO:</t>
  </si>
  <si>
    <t>FECHA:</t>
  </si>
  <si>
    <t>PESO:</t>
  </si>
  <si>
    <t>108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</si>
  <si>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</si>
  <si>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</si>
  <si>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</si>
  <si>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</si>
  <si>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</si>
  <si>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</si>
  <si>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</si>
  <si>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</si>
  <si>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</si>
  <si>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</si>
  <si>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</si>
  <si>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</si>
  <si>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</si>
  <si>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</si>
  <si>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</si>
  <si>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</si>
  <si>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</si>
  <si>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</si>
  <si>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</si>
  <si>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</si>
  <si>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</si>
  <si>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</si>
  <si>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</si>
  <si>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</si>
  <si>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</si>
  <si>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</si>
  <si>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</si>
  <si>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</si>
  <si>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</si>
  <si>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</si>
  <si>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</si>
  <si>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</si>
  <si>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</si>
  <si>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</si>
  <si>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</si>
  <si>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</si>
  <si>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</si>
  <si>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</si>
  <si>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</si>
  <si>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</si>
  <si>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</si>
  <si>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</si>
  <si>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</si>
  <si>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</si>
  <si>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</si>
  <si>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</si>
  <si>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</si>
  <si>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</si>
  <si>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</si>
  <si>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</si>
  <si>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</si>
  <si>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</si>
  <si>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</si>
  <si>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</si>
  <si>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</si>
  <si>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</si>
  <si>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</si>
  <si>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</si>
  <si>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</si>
  <si>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</si>
  <si>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</si>
  <si>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</si>
  <si>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</si>
  <si>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</si>
  <si>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</si>
  <si>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</si>
  <si>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</si>
  <si>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</si>
  <si>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</si>
  <si>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</si>
  <si>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</si>
  <si>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</si>
  <si>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DENNIS FERNANDO PEREZ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</si>
  <si>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</si>
  <si>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</si>
  <si>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</si>
  <si>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</si>
  <si>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</si>
  <si>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</si>
  <si>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</si>
  <si>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</si>
  <si>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</si>
  <si>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</si>
  <si>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</si>
  <si>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</si>
  <si>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</si>
  <si>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</si>
  <si>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</si>
  <si>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</si>
  <si>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CAPELLADAS DE TPU PARA CALZADO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</si>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</sst>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74660599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51948461779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0.4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3988.6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5428.6765229919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3988.6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4407.7356261956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1813</v>
      </c>
      <c r="G36" s="66">
        <f>+'2'!$C$10</f>
        <v>1813</v>
      </c>
      <c r="H36" s="67"/>
      <c r="I36" s="27">
        <f>+'2'!$C$46</f>
        <v>39.521130354991</v>
      </c>
      <c r="J36" s="27">
        <f>+F36*I36</f>
        <v>71651.809333599</v>
      </c>
      <c r="K36" s="54">
        <f>I36*3.7</f>
        <v>146.22818231347</v>
      </c>
      <c r="L36" s="54"/>
    </row>
    <row r="37" spans="1:14">
      <c r="B37" s="18">
        <v>2</v>
      </c>
      <c r="C37" s="63">
        <f>+'2'!$D$6</f>
        <v>108</v>
      </c>
      <c r="D37" s="64"/>
      <c r="E37" s="65"/>
      <c r="F37" s="4">
        <f>+'2'!$D$45</f>
        <v/>
      </c>
      <c r="G37" s="66">
        <f>+'2'!$D$10</f>
        <v>1813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1813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108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0.55</v>
      </c>
      <c r="G7" s="90" t="s">
        <v>18</v>
      </c>
      <c r="H7" s="90">
        <v>280</v>
      </c>
    </row>
    <row r="8" spans="1:8">
      <c r="B8" t="s">
        <v>89</v>
      </c>
      <c r="C8" s="89">
        <v>2.2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1813</v>
      </c>
      <c r="D10">
        <f>SUM(C10:C10)</f>
        <v>1813</v>
      </c>
    </row>
    <row r="11" spans="1:8">
      <c r="B11" t="s">
        <v>92</v>
      </c>
      <c r="C11" s="89">
        <f>C8*C10</f>
        <v>3988.6</v>
      </c>
      <c r="D11">
        <f>SUM(C11:C11)</f>
        <v>3988.6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168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44</v>
      </c>
      <c r="C45">
        <v>1813</v>
      </c>
      <c r="D45"/>
    </row>
    <row r="46" spans="1:8">
      <c r="B46" t="s">
        <v>109</v>
      </c>
      <c r="C46" s="89">
        <f>SUM(C44/C45)</f>
        <v>39.521130354991</v>
      </c>
      <c r="D46"/>
    </row>
    <row r="47" spans="1:8">
      <c r="B47" t="s">
        <v>110</v>
      </c>
      <c r="C47" s="95">
        <f>C46*3.7</f>
        <v>146.22818231347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