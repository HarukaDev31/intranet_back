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<sst xmlns="http://schemas.openxmlformats.org/spreadsheetml/2006/main" uniqueCount="117">
  <si>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</si>
  <si>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</si>
  <si>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</si>
  <si>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</si>
  <si>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BRAIN HANS RINCÓN SONCCO</t>
  </si>
  <si>
    <t>SERVICIO:</t>
  </si>
  <si>
    <t>CARGA CONSOLIDADA</t>
  </si>
  <si>
    <t>N° CAJAS:</t>
  </si>
  <si>
    <t>APELLIDO:</t>
  </si>
  <si>
    <t>FECHA:</t>
  </si>
  <si>
    <t>PESO:</t>
  </si>
  <si>
    <t>1.8297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</si>
  <si>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</si>
  <si>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</si>
  <si>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</si>
  <si>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</si>
  <si>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</si>
  <si>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</si>
  <si>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</si>
  <si>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</si>
  <si>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</si>
  <si>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</si>
  <si>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</si>
  <si>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</si>
  <si>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</si>
  <si>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</si>
  <si>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</si>
  <si>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</si>
  <si>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</si>
  <si>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</si>
  <si>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</si>
  <si>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</si>
  <si>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</si>
  <si>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</si>
  <si>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</si>
  <si>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</si>
  <si>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</si>
  <si>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</si>
  <si>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</si>
  <si>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</si>
  <si>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</si>
  <si>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</si>
  <si>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</si>
  <si>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</si>
  <si>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</si>
  <si>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</si>
  <si>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</si>
  <si>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</si>
  <si>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</si>
  <si>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</si>
  <si>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</si>
  <si>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</si>
  <si>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</si>
  <si>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</si>
  <si>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</si>
  <si>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</si>
  <si>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</si>
  <si>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</si>
  <si>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</si>
  <si>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</si>
  <si>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</si>
  <si>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</si>
  <si>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</si>
  <si>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</si>
  <si>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</si>
  <si>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</si>
  <si>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</si>
  <si>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</si>
  <si>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</si>
  <si>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</si>
  <si>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</si>
  <si>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</si>
  <si>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</si>
  <si>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</si>
  <si>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</si>
  <si>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</si>
  <si>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</si>
  <si>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</si>
  <si>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</si>
  <si>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</si>
  <si>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</si>
  <si>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</si>
  <si>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</si>
  <si>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</si>
  <si>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BRAIN HANS RINCÓN SONCCO 😁 un gusto saludarte!
A continuación te envío la cotización final de tu importación📋📦.
🙋‍♂️ PAGO PENDIENTE :
☑️Costo CBM: $1897.5003
☑️Impuestos: $598.72
☑️ Total: $2496.2203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</si>
  <si>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</si>
  <si>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</si>
  <si>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</si>
  <si>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</si>
  <si>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</si>
  <si>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</si>
  <si>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</si>
  <si>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</si>
  <si>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</si>
  <si>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</si>
  <si>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</si>
  <si>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</si>
  <si>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</si>
  <si>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</si>
  <si>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</si>
  <si>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</si>
  <si>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CILINDRO MAESTRO DE EMBRAGUE</t>
  </si>
  <si>
    <t>PINZA DE FRENO DELANTERA</t>
  </si>
  <si>
    <t>MECANISMO DIFERENCIAL TRASERO</t>
  </si>
  <si>
    <t>RODAMIENTO DE BLOQUE DE ALMOHADA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</si>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</sst>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47773459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51921284934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2.01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'2'!F11</f>
        <v>1653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'2'!F14 + '2'!F17</f>
        <v>48145.53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49798.53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'2'!F28</f>
        <v>204.32327611623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'2'!F29</f>
        <v>25.540409514528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'2'!F30</f>
        <v>52.740945647501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282.60463127825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'2'!F31</f>
        <v>316.11510700466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598.71973828291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1653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'2'!F14, '2'!F14*J11)</f>
        <v>1897.5003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598.71973828291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4149.2200382829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50</v>
      </c>
      <c r="G36" s="66">
        <f>+'2'!$C$10</f>
        <v>50</v>
      </c>
      <c r="H36" s="67"/>
      <c r="I36" s="27">
        <f>+'2'!$C$46</f>
        <v>3374.108186672</v>
      </c>
      <c r="J36" s="27">
        <f>+F36*I36</f>
        <v>168705.4093336</v>
      </c>
      <c r="K36" s="54">
        <f>I36*3.7</f>
        <v>12484.200290686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100</v>
      </c>
      <c r="G37" s="66">
        <f>+'2'!$D$10</f>
        <v>100</v>
      </c>
      <c r="H37" s="67"/>
      <c r="I37" s="27">
        <f>+'2'!$D$46</f>
        <v>21.294280644405</v>
      </c>
      <c r="J37" s="27">
        <f>+F37*I37</f>
        <v>2129.4280644405</v>
      </c>
      <c r="K37" s="54">
        <f>I37*3.7</f>
        <v>78.788838384299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4</v>
      </c>
      <c r="G38" s="66">
        <f>+'2'!$E$10</f>
        <v>4</v>
      </c>
      <c r="H38" s="67"/>
      <c r="I38" s="27">
        <f>+'2'!$E$46</f>
        <v>19888.805085061</v>
      </c>
      <c r="J38" s="27">
        <f>+F38*I38</f>
        <v>79555.220340243</v>
      </c>
      <c r="K38" s="82">
        <f>I38*3.7</f>
        <v>73588.578814725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154</v>
      </c>
      <c r="G39" s="2"/>
      <c r="H39" s="2"/>
      <c r="J39" s="28">
        <f>+SUM(J36:J38)</f>
        <v>250390.05773828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1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29.421" bestFit="true" customWidth="true" style="0"/>
    <col min="5" max="5" width="35.277" bestFit="true" customWidth="true" style="0"/>
    <col min="6" max="6" width="38.848" bestFit="true" customWidth="true" style="0"/>
    <col min="7" max="7" width="11.711" bestFit="true" customWidth="true" style="0"/>
  </cols>
  <sheetData>
    <row r="3" spans="1:11">
      <c r="B3" s="85" t="s">
        <v>85</v>
      </c>
      <c r="C3"/>
      <c r="D3"/>
      <c r="E3"/>
      <c r="F3"/>
      <c r="G3"/>
    </row>
    <row r="5" spans="1:11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107</v>
      </c>
    </row>
    <row r="6" spans="1:11">
      <c r="B6" t="s">
        <v>87</v>
      </c>
      <c r="C6">
        <v>0</v>
      </c>
      <c r="D6">
        <v>0</v>
      </c>
      <c r="E6">
        <v>0</v>
      </c>
      <c r="F6">
        <v>0</v>
      </c>
      <c r="G6" s="91">
        <v>1.83</v>
      </c>
      <c r="J6" s="90" t="s">
        <v>105</v>
      </c>
      <c r="K6" s="90" t="s">
        <v>106</v>
      </c>
    </row>
    <row r="7" spans="1:11">
      <c r="B7" t="s">
        <v>88</v>
      </c>
      <c r="C7">
        <v>0</v>
      </c>
      <c r="D7">
        <v>0</v>
      </c>
      <c r="E7">
        <v>0</v>
      </c>
      <c r="F7">
        <v>0</v>
      </c>
      <c r="G7" s="92">
        <v>1.89</v>
      </c>
      <c r="J7" s="90" t="s">
        <v>18</v>
      </c>
      <c r="K7" s="90">
        <v>350</v>
      </c>
    </row>
    <row r="8" spans="1:11">
      <c r="B8" t="s">
        <v>89</v>
      </c>
      <c r="C8" s="89">
        <v>3.9</v>
      </c>
      <c r="D8" s="89">
        <v>18.25</v>
      </c>
      <c r="E8" s="89">
        <v>138</v>
      </c>
      <c r="F8" s="89">
        <v>16.53</v>
      </c>
      <c r="G8"/>
    </row>
    <row r="9" spans="1:11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/>
    </row>
    <row r="10" spans="1:11">
      <c r="B10" t="s">
        <v>91</v>
      </c>
      <c r="C10">
        <v>50</v>
      </c>
      <c r="D10">
        <v>100</v>
      </c>
      <c r="E10">
        <v>4</v>
      </c>
      <c r="F10">
        <v>100</v>
      </c>
      <c r="G10">
        <f>SUM(C10:F10)</f>
        <v>254</v>
      </c>
    </row>
    <row r="11" spans="1:11">
      <c r="B11" t="s">
        <v>92</v>
      </c>
      <c r="C11" s="89">
        <f>C8*C10</f>
        <v>195</v>
      </c>
      <c r="D11" s="89">
        <f>D8*D10</f>
        <v>1825</v>
      </c>
      <c r="E11" s="89">
        <f>E8*E10</f>
        <v>552</v>
      </c>
      <c r="F11" s="89">
        <f>F8*F10</f>
        <v>1653</v>
      </c>
      <c r="G11">
        <f>SUM(C11:F11)</f>
        <v>4225</v>
      </c>
    </row>
    <row r="12" spans="1:11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/>
    </row>
    <row r="13" spans="1:11">
      <c r="B13" t="s">
        <v>94</v>
      </c>
      <c r="C13" s="93">
        <f>C11/G11</f>
        <v>636</v>
      </c>
      <c r="D13" s="93">
        <f>D11/G11</f>
        <v>8.03</v>
      </c>
      <c r="E13" s="93">
        <f>E11/G11</f>
        <v>300</v>
      </c>
      <c r="F13" s="93">
        <f>F11/G11</f>
        <v>944.03</v>
      </c>
      <c r="G13"/>
    </row>
    <row r="14" spans="1:11">
      <c r="B14" t="s">
        <v>95</v>
      </c>
      <c r="C14" s="89">
        <f>G14*C13</f>
        <v>636</v>
      </c>
      <c r="D14" s="89">
        <f>G14*D13</f>
        <v>8.03</v>
      </c>
      <c r="E14" s="89">
        <f>G14*E13</f>
        <v>300</v>
      </c>
      <c r="F14" s="89">
        <f>G14*F13</f>
        <v>944.03</v>
      </c>
      <c r="G14">
        <f>IF(G7&lt;1, K7*0.6, K7*0.6*G7)</f>
        <v>396.9</v>
      </c>
    </row>
    <row r="15" spans="1:11">
      <c r="B15" t="s">
        <v>96</v>
      </c>
      <c r="C15" s="89">
        <f>C11+C14</f>
        <v>0.67370740336642</v>
      </c>
      <c r="D15" s="89">
        <f>D11+D14</f>
        <v>0.0085060856116861</v>
      </c>
      <c r="E15" s="89">
        <f>E11+E14</f>
        <v>0.3177865110219</v>
      </c>
      <c r="F15" s="89">
        <f>F11+F14</f>
        <v>2597.03</v>
      </c>
      <c r="G15"/>
    </row>
    <row r="16" spans="1:11">
      <c r="B16" s="88" t="s">
        <v>97</v>
      </c>
      <c r="C16" s="89">
        <f>C12+C14</f>
        <v>168.07652299185</v>
      </c>
      <c r="D16" s="89">
        <f>D12+D14</f>
        <v>2.1220982384034</v>
      </c>
      <c r="E16" s="89">
        <f>E12+E14</f>
        <v>79.281378769742</v>
      </c>
      <c r="F16" s="89">
        <f>F12+F14</f>
        <v>249.48</v>
      </c>
      <c r="G16"/>
    </row>
    <row r="17" spans="1:11">
      <c r="B17" t="s">
        <v>98</v>
      </c>
      <c r="C17" s="89">
        <f>IF(G11&gt;5000,100*C13,50*C13)</f>
        <v>804.07652299185</v>
      </c>
      <c r="D17" s="89">
        <f>IF(G11&gt;5000,100*D13,50*D13)</f>
        <v>10.152098238403</v>
      </c>
      <c r="E17" s="89">
        <f>IF(G11&gt;5000,100*E13,50*E13)</f>
        <v>379.28137876974</v>
      </c>
      <c r="F17" s="89">
        <f>IF(G11&gt;5000,100*F13,50*F13)</f>
        <v>47201.5</v>
      </c>
      <c r="G17"/>
    </row>
    <row r="18" spans="1:11">
      <c r="B18" t="s">
        <v>99</v>
      </c>
      <c r="C18" s="89">
        <f>C15+C17</f>
        <v>804.07652299185</v>
      </c>
      <c r="D18" s="89">
        <f>D15+D17</f>
        <v>10.160604324015</v>
      </c>
      <c r="E18" s="89">
        <f>E15+E17</f>
        <v>379.59916528076</v>
      </c>
      <c r="F18" s="89">
        <f>F15+F17</f>
        <v>49798.53</v>
      </c>
      <c r="G18"/>
    </row>
    <row r="19" spans="1:11">
      <c r="B19" s="88" t="s">
        <v>100</v>
      </c>
      <c r="C19" s="89">
        <f>C16+C17</f>
        <v>33.685370168321</v>
      </c>
      <c r="D19" s="89">
        <f>D16+D17</f>
        <v>0.4253042805843</v>
      </c>
      <c r="E19" s="89">
        <f>E16+E17</f>
        <v>15.889325551095</v>
      </c>
      <c r="F19" s="89">
        <f>F16+F17</f>
        <v>50</v>
      </c>
      <c r="G19"/>
    </row>
    <row r="23" spans="1:11">
      <c r="B23" s="85" t="s">
        <v>114</v>
      </c>
      <c r="C23"/>
      <c r="D23"/>
      <c r="E23"/>
    </row>
    <row r="26" spans="1:11">
      <c r="B26" t="s">
        <v>115</v>
      </c>
      <c r="C26" s="89">
        <v>0</v>
      </c>
      <c r="D26" s="89">
        <v>0</v>
      </c>
      <c r="E26" s="89">
        <v>0</v>
      </c>
      <c r="F26" s="89">
        <v>0</v>
      </c>
      <c r="G26" s="89">
        <f>SUM(C26:F26)</f>
        <v>0</v>
      </c>
    </row>
    <row r="27" spans="1:11">
      <c r="C27" s="94">
        <v>0.0</v>
      </c>
      <c r="D27" s="94">
        <v>0.0</v>
      </c>
      <c r="E27" s="94">
        <v>0.0</v>
      </c>
      <c r="F27" s="94">
        <v>0.0</v>
      </c>
      <c r="G27" s="93">
        <f>SUM(C27:F27)</f>
        <v>0</v>
      </c>
    </row>
    <row r="28" spans="1:11">
      <c r="B28" t="s">
        <v>108</v>
      </c>
      <c r="C28" s="89">
        <f>MAX(C19,C18)*C27</f>
        <v>139.40357902185</v>
      </c>
      <c r="D28" s="89">
        <f>MAX(D19,D18)*D27</f>
        <v>1.692384403038</v>
      </c>
      <c r="E28" s="89">
        <f>MAX(E19,E18)*E27</f>
        <v>63.227312691334</v>
      </c>
      <c r="F28" s="89">
        <f>MAX(F19,F18)*F27</f>
        <v>204.32327611623</v>
      </c>
      <c r="G28" s="89">
        <f>SUM(C28:F28)</f>
        <v>408.64655223245</v>
      </c>
    </row>
    <row r="29" spans="1:11">
      <c r="B29" t="s">
        <v>30</v>
      </c>
      <c r="C29" s="89">
        <f>0.16*(MAX(C19,C18)+C28)</f>
        <v>17.425447377732</v>
      </c>
      <c r="D29" s="89">
        <f>0.16*(MAX(D19,D18)+D28)</f>
        <v>0.21154805037975</v>
      </c>
      <c r="E29" s="89">
        <f>0.16*(MAX(E19,E18)+E28)</f>
        <v>7.9034140864167</v>
      </c>
      <c r="F29" s="89">
        <f>0.16*(MAX(F19,F18)+F28)</f>
        <v>25.540409514528</v>
      </c>
      <c r="G29" s="89">
        <f>SUM(C29:F29)</f>
        <v>51.080819029056</v>
      </c>
    </row>
    <row r="30" spans="1:11">
      <c r="B30" t="s">
        <v>31</v>
      </c>
      <c r="C30" s="89">
        <f>0.02*(MAX(C19,C18)+C28)</f>
        <v>35.983548835016</v>
      </c>
      <c r="D30" s="89">
        <f>0.02*(MAX(D19,D18)+D28)</f>
        <v>0.43684672403419</v>
      </c>
      <c r="E30" s="89">
        <f>0.02*(MAX(E19,E18)+E28)</f>
        <v>16.320550088451</v>
      </c>
      <c r="F30" s="89">
        <f>0.02*(MAX(F19,F18)+F28)</f>
        <v>52.740945647501</v>
      </c>
      <c r="G30" s="89">
        <f>SUM(C30:F30)</f>
        <v>105.481891295</v>
      </c>
    </row>
    <row r="31" spans="1:11">
      <c r="B31" t="s">
        <v>109</v>
      </c>
      <c r="C31" s="89">
        <f>0.035*(MAX(C18,C19) +C28+C29+C30)</f>
        <v>226.32305096101</v>
      </c>
      <c r="D31" s="89">
        <f>0.035*(MAX(D18,D19) +D28+D29+D30)</f>
        <v>2.340779177452</v>
      </c>
      <c r="E31" s="89">
        <f>0.035*(MAX(E18,E19) +E28+E29+E30)</f>
        <v>87.451276866201</v>
      </c>
      <c r="F31" s="89">
        <f>0.035*(MAX(F18,F19) +F28+F29+F30)</f>
        <v>316.11510700466</v>
      </c>
      <c r="G31" s="89">
        <f>SUM(C31:F31)</f>
        <v>632.23021400932</v>
      </c>
    </row>
    <row r="32" spans="1:11">
      <c r="B32" t="s">
        <v>35</v>
      </c>
      <c r="C32" s="89">
        <f>SUM(C28:C31)</f>
        <v>419.13562619561</v>
      </c>
      <c r="D32" s="89">
        <f>SUM(D28:D31)</f>
        <v>4.681558354904</v>
      </c>
      <c r="E32" s="89">
        <f>SUM(E28:E31)</f>
        <v>174.9025537324</v>
      </c>
      <c r="F32" s="89">
        <f>SUM(F28:F31)</f>
        <v>598.71973828291</v>
      </c>
      <c r="G32" s="89">
        <f>SUM(G28:G31)</f>
        <v>1197.4394765658</v>
      </c>
    </row>
    <row r="37" spans="1:11">
      <c r="B37" s="85" t="s">
        <v>116</v>
      </c>
      <c r="C37"/>
      <c r="D37"/>
      <c r="E37"/>
    </row>
    <row r="40" spans="1:11">
      <c r="B40" t="s">
        <v>110</v>
      </c>
      <c r="C40" s="89">
        <f>C13*G40</f>
        <v>168285.6</v>
      </c>
      <c r="D40" s="89">
        <f>D13*G40</f>
        <v>2124.738</v>
      </c>
      <c r="E40" s="89">
        <f>E13*G40</f>
        <v>79380</v>
      </c>
      <c r="F40" s="89">
        <f>F13*G40</f>
        <v>249790.338</v>
      </c>
      <c r="G40">
        <f>IF(G7&lt;1, K7*0.4,K7*0.4*G7)</f>
        <v>264.6</v>
      </c>
    </row>
    <row r="41" spans="1:11">
      <c r="B41"/>
    </row>
    <row r="43" spans="1:11">
      <c r="B43" t="s">
        <v>110</v>
      </c>
      <c r="C43" t="s">
        <v>101</v>
      </c>
      <c r="D43" t="s">
        <v>102</v>
      </c>
      <c r="E43" t="s">
        <v>103</v>
      </c>
      <c r="F43" t="s">
        <v>104</v>
      </c>
      <c r="G43" t="s">
        <v>107</v>
      </c>
    </row>
    <row r="44" spans="1:11">
      <c r="B44" t="s">
        <v>111</v>
      </c>
      <c r="C44" s="89">
        <f>SUM(C15,C40,C32,(C26))</f>
        <v>168705.4093336</v>
      </c>
      <c r="D44" s="89">
        <f>SUM(D15,D40,D32,(D26))</f>
        <v>2129.4280644405</v>
      </c>
      <c r="E44" s="89">
        <f>SUM(E15,E40,E32,(E26))</f>
        <v>79555.220340243</v>
      </c>
      <c r="F44" s="89">
        <f>SUM(F15,F40,F32,(F26))</f>
        <v>252986.08773828</v>
      </c>
      <c r="G44" s="89">
        <f>SUM(C44:F44)</f>
        <v>503376.14547657</v>
      </c>
    </row>
    <row r="45" spans="1:11">
      <c r="B45" t="s">
        <v>44</v>
      </c>
      <c r="C45">
        <v>50</v>
      </c>
      <c r="D45">
        <v>100</v>
      </c>
      <c r="E45">
        <v>4</v>
      </c>
      <c r="F45">
        <v>100</v>
      </c>
      <c r="G45"/>
    </row>
    <row r="46" spans="1:11">
      <c r="B46" t="s">
        <v>112</v>
      </c>
      <c r="C46" s="89">
        <f>SUM(C44/C45)</f>
        <v>3374.108186672</v>
      </c>
      <c r="D46" s="89">
        <f>SUM(D44/D45)</f>
        <v>21.294280644405</v>
      </c>
      <c r="E46" s="89">
        <f>SUM(E44/E45)</f>
        <v>19888.805085061</v>
      </c>
      <c r="F46" s="89">
        <f>SUM(F44/F45)</f>
        <v>2529.8608773828</v>
      </c>
      <c r="G46"/>
    </row>
    <row r="47" spans="1:11">
      <c r="B47" t="s">
        <v>113</v>
      </c>
      <c r="C47" s="95">
        <f>C46*3.7</f>
        <v>12484.200290686</v>
      </c>
      <c r="D47" s="95">
        <f>D46*3.7</f>
        <v>78.788838384299</v>
      </c>
      <c r="E47" s="95">
        <f>E46*3.7</f>
        <v>73588.578814725</v>
      </c>
      <c r="F47" s="95">
        <f>F46*3.7</f>
        <v>9360.4852463165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