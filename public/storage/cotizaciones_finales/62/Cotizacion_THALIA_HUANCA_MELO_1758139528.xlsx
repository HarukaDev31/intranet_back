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<sst xmlns="http://schemas.openxmlformats.org/spreadsheetml/2006/main" uniqueCount="119">
  <si>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</si>
  <si>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</si>
  <si>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</si>
  <si>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</si>
  <si>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THALIA HUANCA MELO</t>
  </si>
  <si>
    <t>SERVICIO:</t>
  </si>
  <si>
    <t>CARGA CONSOLIDADA</t>
  </si>
  <si>
    <t>N° CAJAS:</t>
  </si>
  <si>
    <t>APELLIDO:</t>
  </si>
  <si>
    <t>FECHA:</t>
  </si>
  <si>
    <t>PESO:</t>
  </si>
  <si>
    <t>24.1 Kg</t>
  </si>
  <si>
    <t>DNI/RUC:</t>
  </si>
  <si>
    <t>ORIGEN:</t>
  </si>
  <si>
    <t>CHINA</t>
  </si>
  <si>
    <t>MEDIDA:</t>
  </si>
  <si>
    <t>TELEFONO:</t>
  </si>
  <si>
    <t>51 963317709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</si>
  <si>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</si>
  <si>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</si>
  <si>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</si>
  <si>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</si>
  <si>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</si>
  <si>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</si>
  <si>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</si>
  <si>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</si>
  <si>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</si>
  <si>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</si>
  <si>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</si>
  <si>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</si>
  <si>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</si>
  <si>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</si>
  <si>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</si>
  <si>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</si>
  <si>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</si>
  <si>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</si>
  <si>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</si>
  <si>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</si>
  <si>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</si>
  <si>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</si>
  <si>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</si>
  <si>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</si>
  <si>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</si>
  <si>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</si>
  <si>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</si>
  <si>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</si>
  <si>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</si>
  <si>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</si>
  <si>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</si>
  <si>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GUANTES DE INVIERTO</t>
  </si>
  <si>
    <t>BUFANDA DE PUNTO</t>
  </si>
  <si>
    <t>SOMBRERO DE PESCADOR</t>
  </si>
  <si>
    <t>GORRO DE INVIERNO</t>
  </si>
  <si>
    <t>GORRO DE BEISBOL</t>
  </si>
  <si>
    <t>GORRO DE INVIERNO DE OSO</t>
  </si>
  <si>
    <t>BUFANDA PARA INVIERNO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</si>
  <si>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</si>
  <si>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</si>
  <si>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</si>
  <si>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</si>
  <si>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</si>
  <si>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</si>
  <si>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</si>
  <si>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</si>
  <si>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</si>
  <si>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</si>
  <si>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</si>
  <si>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</si>
  <si>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</si>
  <si>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</si>
  <si>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</si>
  <si>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</si>
  <si>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</si>
  <si>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</si>
  <si>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</si>
  <si>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</si>
  <si>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</si>
  <si>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</si>
  <si>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</si>
  <si>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</si>
  <si>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</si>
  <si>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</si>
  <si>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</si>
  <si>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</si>
  <si>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</si>
  <si>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</si>
  <si>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</si>
  <si>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</si>
  <si>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</si>
  <si>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</si>
  <si>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THALIA HUANCA MELO 😁 un gusto saludarte!
A continuación te envío la cotización final de tu importación📋📦.
🙋‍♂️ PAGO PENDIENTE :
☑️Costo CBM: $320
☑️Impuestos: $0
☑️ Total: $320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</si>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</sst>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43" sqref="B43:L43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</row>
    <row r="5" spans="1:14">
      <c r="B5" s="37"/>
      <c r="C5" s="37"/>
      <c r="D5" s="35"/>
    </row>
    <row r="6" spans="1:14">
      <c r="B6" s="37"/>
      <c r="C6" s="37"/>
      <c r="D6" s="23"/>
      <c r="F6" s="23"/>
      <c r="G6" s="23"/>
      <c r="H6" s="23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</row>
    <row r="10" spans="1:14">
      <c r="B10" s="6" t="s">
        <v>12</v>
      </c>
      <c r="C10" s="14">
        <v>77130005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</row>
    <row r="11" spans="1:14">
      <c r="B11" s="6" t="s">
        <v>16</v>
      </c>
      <c r="C11" s="15" t="s">
        <v>17</v>
      </c>
      <c r="D11" s="34"/>
      <c r="E11" s="22" t="s">
        <v>18</v>
      </c>
      <c r="F11" s="47" t="s">
        <v>19</v>
      </c>
      <c r="G11" s="64"/>
      <c r="H11" s="32"/>
      <c r="I11" s="1" t="s">
        <v>20</v>
      </c>
      <c r="J11" s="87">
        <f>'2'!I7</f>
        <v>0</v>
      </c>
      <c r="K11" s="73"/>
      <c r="L11" s="73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4">
      <c r="B13" s="65" t="s">
        <v>21</v>
      </c>
      <c r="C13" s="65"/>
      <c r="D13" s="65"/>
      <c r="E13" s="65"/>
      <c r="F13" s="65"/>
      <c r="G13" s="65"/>
      <c r="H13" s="65"/>
      <c r="I13" s="65"/>
      <c r="J13" s="65"/>
      <c r="K13" s="8" t="s">
        <v>22</v>
      </c>
      <c r="L13" s="8" t="s">
        <v>23</v>
      </c>
    </row>
    <row r="14" spans="1:14">
      <c r="B14" s="66" t="s">
        <v>24</v>
      </c>
      <c r="C14" s="66"/>
      <c r="D14" s="66"/>
      <c r="E14" s="66"/>
      <c r="F14" s="66"/>
      <c r="G14" s="66"/>
      <c r="H14" s="66"/>
      <c r="I14" s="66"/>
      <c r="J14" s="66"/>
      <c r="K14" s="12">
        <f>'2'!I11</f>
        <v>174</v>
      </c>
      <c r="L14" s="7" t="s">
        <v>25</v>
      </c>
    </row>
    <row r="15" spans="1:14">
      <c r="B15" s="67" t="s">
        <v>26</v>
      </c>
      <c r="C15" s="67"/>
      <c r="D15" s="67"/>
      <c r="E15" s="67"/>
      <c r="F15" s="67"/>
      <c r="G15" s="67"/>
      <c r="H15" s="67"/>
      <c r="I15" s="67"/>
      <c r="J15" s="67"/>
      <c r="K15" s="13">
        <f>'2'!I14 + '2'!I17</f>
        <v>70.912765240822</v>
      </c>
      <c r="L15" s="10" t="s">
        <v>25</v>
      </c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244.91276524082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68" t="s">
        <v>28</v>
      </c>
      <c r="C19" s="68"/>
      <c r="D19" s="68"/>
      <c r="E19" s="68"/>
      <c r="F19" s="68"/>
      <c r="G19" s="16"/>
      <c r="H19" s="16"/>
      <c r="I19" s="16"/>
      <c r="J19" s="8" t="s">
        <v>29</v>
      </c>
      <c r="K19" s="8" t="s">
        <v>22</v>
      </c>
      <c r="L19" s="8" t="s">
        <v>23</v>
      </c>
    </row>
    <row r="20" spans="1:14">
      <c r="B20" s="48" t="s">
        <v>30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'2'!I28</f>
        <v>0</v>
      </c>
      <c r="L20" s="7" t="s">
        <v>25</v>
      </c>
      <c r="N20" t="s">
        <v>90</v>
      </c>
    </row>
    <row r="21" spans="1:14">
      <c r="B21" s="48" t="s">
        <v>31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'2'!I29</f>
        <v>39.186042438532</v>
      </c>
      <c r="L21" s="7" t="s">
        <v>25</v>
      </c>
    </row>
    <row r="22" spans="1:14">
      <c r="B22" s="47" t="s">
        <v>32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'2'!I30</f>
        <v>4.8982553048165</v>
      </c>
      <c r="L22" s="7" t="s">
        <v>25</v>
      </c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44.084297743348</v>
      </c>
      <c r="L23" s="27" t="s">
        <v>25</v>
      </c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</row>
    <row r="25" spans="1:14">
      <c r="B25" s="47" t="s">
        <v>34</v>
      </c>
      <c r="C25" s="47"/>
      <c r="D25" s="47"/>
      <c r="E25" s="47"/>
      <c r="F25" s="47"/>
      <c r="G25" s="47"/>
      <c r="H25" s="47"/>
      <c r="I25" s="47"/>
      <c r="J25" s="19" t="s">
        <v>35</v>
      </c>
      <c r="K25" s="13">
        <f>'2'!I31</f>
        <v>10.114897204446</v>
      </c>
      <c r="L25" s="10" t="s">
        <v>25</v>
      </c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54.199194947794</v>
      </c>
      <c r="L26" s="7" t="s">
        <v>25</v>
      </c>
    </row>
    <row r="27" spans="1:14">
      <c r="B27" s="42"/>
      <c r="C27" s="42"/>
      <c r="D27" s="42"/>
      <c r="E27" s="42"/>
      <c r="F27" s="42"/>
      <c r="G27" s="42"/>
      <c r="H27" s="42"/>
      <c r="I27" s="42"/>
    </row>
    <row r="28" spans="1:14" customHeight="1" ht="15.6">
      <c r="B28" s="51" t="s">
        <v>37</v>
      </c>
      <c r="C28" s="51"/>
      <c r="D28" s="51"/>
      <c r="E28" s="51"/>
      <c r="F28" s="51"/>
      <c r="G28" s="51"/>
      <c r="H28" s="51"/>
      <c r="I28" s="51"/>
      <c r="J28" s="51"/>
      <c r="K28" s="26" t="s">
        <v>22</v>
      </c>
      <c r="L28" s="26" t="s">
        <v>23</v>
      </c>
    </row>
    <row r="29" spans="1:14">
      <c r="B29" s="48" t="s">
        <v>38</v>
      </c>
      <c r="C29" s="48"/>
      <c r="D29" s="48"/>
      <c r="E29" s="48"/>
      <c r="F29" s="48"/>
      <c r="G29" s="48"/>
      <c r="H29" s="48"/>
      <c r="I29" s="48"/>
      <c r="J29" s="48"/>
      <c r="K29" s="12">
        <f>K14</f>
        <v>174</v>
      </c>
      <c r="L29" s="7" t="s">
        <v>25</v>
      </c>
    </row>
    <row r="30" spans="1:14">
      <c r="B30" s="48" t="s">
        <v>39</v>
      </c>
      <c r="C30" s="48"/>
      <c r="D30" s="48"/>
      <c r="E30" s="48"/>
      <c r="F30" s="48"/>
      <c r="G30" s="48"/>
      <c r="H30" s="48"/>
      <c r="I30" s="48"/>
      <c r="J30" s="48"/>
      <c r="K30" s="12">
        <f>IF(J11&lt;1, 320.00, 320.00*J11)</f>
        <v>320</v>
      </c>
      <c r="L30" s="7" t="s">
        <v>25</v>
      </c>
    </row>
    <row r="31" spans="1:14">
      <c r="B31" s="47" t="s">
        <v>40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54.199194947794</v>
      </c>
      <c r="L31" s="10" t="s">
        <v>25</v>
      </c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548.1991949478</v>
      </c>
      <c r="L32" s="7" t="s">
        <v>25</v>
      </c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4">
      <c r="B35" s="17" t="s">
        <v>43</v>
      </c>
      <c r="C35" s="55" t="s">
        <v>44</v>
      </c>
      <c r="D35" s="56"/>
      <c r="E35" s="57"/>
      <c r="F35" s="4" t="s">
        <v>45</v>
      </c>
      <c r="G35" s="55" t="s">
        <v>46</v>
      </c>
      <c r="H35" s="57"/>
      <c r="I35" s="3" t="s">
        <v>47</v>
      </c>
      <c r="J35" s="24" t="s">
        <v>36</v>
      </c>
      <c r="K35" s="46" t="s">
        <v>48</v>
      </c>
      <c r="L35" s="46"/>
    </row>
    <row r="36" spans="1:14">
      <c r="A36" s="1"/>
      <c r="B36" s="88">
        <v>1</v>
      </c>
      <c r="C36" s="89" t="s">
        <v>49</v>
      </c>
      <c r="D36" s="90"/>
      <c r="E36" s="91"/>
      <c r="F36" s="88">
        <f>'2'!C10</f>
        <v>70</v>
      </c>
      <c r="G36" s="92">
        <f>'2'!C8</f>
        <v>0.81857142857143</v>
      </c>
      <c r="H36" s="93"/>
      <c r="I36" s="92">
        <f>'2'!C46</f>
        <v>1.5146777063465</v>
      </c>
      <c r="J36" s="92">
        <f>'2'!C44</f>
        <v>106.02743944426</v>
      </c>
      <c r="K36" s="94">
        <f>'2'!C47</f>
        <v>5.6043075134822</v>
      </c>
      <c r="L36" s="46"/>
    </row>
    <row r="37" spans="1:14">
      <c r="A37" s="1"/>
      <c r="B37" s="88">
        <v>2</v>
      </c>
      <c r="C37" s="89" t="s">
        <v>50</v>
      </c>
      <c r="D37" s="90"/>
      <c r="E37" s="91"/>
      <c r="F37" s="88">
        <f>'2'!D10</f>
        <v>50</v>
      </c>
      <c r="G37" s="92">
        <f>'2'!D8</f>
        <v>1.65</v>
      </c>
      <c r="H37" s="93"/>
      <c r="I37" s="92">
        <f>'2'!D46</f>
        <v>3.0531461620074</v>
      </c>
      <c r="J37" s="92">
        <f>'2'!D44</f>
        <v>152.65730810037</v>
      </c>
      <c r="K37" s="94">
        <f>'2'!D47</f>
        <v>11.296640799427</v>
      </c>
      <c r="L37" s="46"/>
    </row>
    <row r="38" spans="1:14">
      <c r="A38" s="1"/>
      <c r="B38" s="88">
        <v>3</v>
      </c>
      <c r="C38" s="89" t="s">
        <v>51</v>
      </c>
      <c r="D38" s="90"/>
      <c r="E38" s="91"/>
      <c r="F38" s="88">
        <f>'2'!E10</f>
        <v>60</v>
      </c>
      <c r="G38" s="92">
        <f>'2'!E8</f>
        <v>1.2</v>
      </c>
      <c r="H38" s="93"/>
      <c r="I38" s="92">
        <f>'2'!E46</f>
        <v>2.3442404022903</v>
      </c>
      <c r="J38" s="92">
        <f>'2'!E44</f>
        <v>140.65442413742</v>
      </c>
      <c r="K38" s="95">
        <f>'2'!E47</f>
        <v>8.6736894884742</v>
      </c>
      <c r="L38" s="72"/>
    </row>
    <row r="39" spans="1:14" customHeight="1" ht="15.6">
      <c r="A39"/>
      <c r="B39" s="96">
        <v>4</v>
      </c>
      <c r="C39" s="96" t="s">
        <v>52</v>
      </c>
      <c r="D39" s="96"/>
      <c r="E39" s="96"/>
      <c r="F39" s="96">
        <f>'2'!F10</f>
        <v>50</v>
      </c>
      <c r="G39" s="97">
        <f>'2'!F8</f>
        <v>1.36</v>
      </c>
      <c r="H39" s="96"/>
      <c r="I39" s="98">
        <f>'2'!F46</f>
        <v>2.5165325941394</v>
      </c>
      <c r="J39" s="99">
        <f>'2'!F44</f>
        <v>125.82662970697</v>
      </c>
      <c r="K39" s="100">
        <f>'2'!F47</f>
        <v>9.3111705983159</v>
      </c>
      <c r="L39" s="29"/>
    </row>
    <row r="40" spans="1:14" customHeight="1" ht="15.6">
      <c r="B40" s="96">
        <v>5</v>
      </c>
      <c r="C40" s="96" t="s">
        <v>53</v>
      </c>
      <c r="D40" s="96"/>
      <c r="E40" s="96"/>
      <c r="F40" s="96">
        <f>'2'!G10</f>
        <v>50</v>
      </c>
      <c r="G40" s="97">
        <f>'2'!G8</f>
        <v>1.4</v>
      </c>
      <c r="H40" s="96"/>
      <c r="I40" s="98">
        <f>'2'!G46</f>
        <v>2.590548258673</v>
      </c>
      <c r="J40" s="97">
        <f>'2'!G44</f>
        <v>129.52741293365</v>
      </c>
      <c r="K40" s="100">
        <f>'2'!G47</f>
        <v>9.5850285570899</v>
      </c>
      <c r="L40" s="29"/>
    </row>
    <row r="41" spans="1:14">
      <c r="B41" s="96">
        <v>6</v>
      </c>
      <c r="C41" s="96" t="s">
        <v>54</v>
      </c>
      <c r="D41" s="96"/>
      <c r="E41" s="96"/>
      <c r="F41" s="96">
        <f>'2'!H10</f>
        <v>50</v>
      </c>
      <c r="G41" s="97">
        <f>'2'!H8</f>
        <v>1.4</v>
      </c>
      <c r="H41" s="96"/>
      <c r="I41" s="97">
        <f>'2'!H46</f>
        <v>2.590548258673</v>
      </c>
      <c r="J41" s="97">
        <f>'2'!H44</f>
        <v>129.52741293365</v>
      </c>
      <c r="K41" s="100">
        <f>'2'!H47</f>
        <v>9.5850285570899</v>
      </c>
      <c r="L41" s="30"/>
    </row>
    <row r="42" spans="1:14" customHeight="1" ht="18">
      <c r="B42" s="101">
        <v>7</v>
      </c>
      <c r="C42" s="96" t="s">
        <v>55</v>
      </c>
      <c r="D42" s="96"/>
      <c r="E42" s="96"/>
      <c r="F42" s="96">
        <f>'2'!I10</f>
        <v>70</v>
      </c>
      <c r="G42" s="97">
        <f>'2'!I8</f>
        <v>2.4857142857143</v>
      </c>
      <c r="H42" s="96"/>
      <c r="I42" s="97">
        <f>'2'!I46</f>
        <v>4.5995448674398</v>
      </c>
      <c r="J42" s="97">
        <f>'2'!I44</f>
        <v>321.96814072078</v>
      </c>
      <c r="K42" s="100">
        <f>'2'!I47</f>
        <v>17.018316009527</v>
      </c>
      <c r="L42"/>
    </row>
    <row r="43" spans="1:14" customHeight="1" ht="18">
      <c r="B43" s="102" t="s">
        <v>36</v>
      </c>
      <c r="C43" s="5"/>
      <c r="D43" s="5"/>
      <c r="E43" s="5"/>
      <c r="F43" s="102">
        <f>SUM(F36:F42)</f>
        <v>400</v>
      </c>
      <c r="G43" s="5"/>
      <c r="H43" s="5"/>
      <c r="I43" s="5"/>
      <c r="J43" s="103">
        <f>SUM(J36:J42)</f>
        <v>1106.1887679771</v>
      </c>
      <c r="K43" s="5"/>
      <c r="L43" s="5"/>
    </row>
    <row r="44" spans="1:14" customHeight="1" ht="18">
      <c r="B44" s="63" t="s">
        <v>56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4" customHeight="1" ht="18">
      <c r="B45" s="63" t="s">
        <v>57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4" customHeight="1" ht="18">
      <c r="B46" s="63" t="s">
        <v>58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</row>
    <row r="47" spans="1:14" customHeight="1" ht="18">
      <c r="B47" s="63" t="s">
        <v>59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37"/>
      <c r="C49" s="37"/>
      <c r="E49" s="37"/>
      <c r="F49" s="37"/>
      <c r="G49" s="37"/>
      <c r="H49" s="37"/>
      <c r="I49" s="37"/>
      <c r="J49" s="37"/>
      <c r="K49" s="37"/>
      <c r="L49" s="37"/>
      <c r="M49" s="37"/>
    </row>
    <row r="50" spans="1:14" customHeight="1" ht="31.8">
      <c r="B50" s="37"/>
      <c r="C50" s="37"/>
      <c r="D50" s="36" t="s">
        <v>0</v>
      </c>
      <c r="E50" s="36"/>
      <c r="F50" s="36"/>
      <c r="G50" s="36"/>
      <c r="H50" s="36"/>
      <c r="I50" s="36"/>
      <c r="J50" s="36"/>
      <c r="K50" s="36"/>
      <c r="L50" s="36"/>
      <c r="M50" s="36"/>
    </row>
    <row r="51" spans="1:14" customHeight="1" ht="21">
      <c r="B51" s="37"/>
      <c r="C51" s="37"/>
      <c r="D51" s="52" t="s">
        <v>60</v>
      </c>
      <c r="E51" s="52"/>
      <c r="F51" s="52"/>
      <c r="G51" s="52"/>
      <c r="H51" s="52"/>
      <c r="I51" s="52"/>
    </row>
    <row r="52" spans="1:14">
      <c r="B52" s="37"/>
      <c r="C52" s="37"/>
    </row>
    <row r="53" spans="1:14">
      <c r="B53" s="37"/>
      <c r="C53" s="37"/>
    </row>
    <row r="54" spans="1:14" customHeight="1" ht="21">
      <c r="B54" s="69" t="s">
        <v>61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</row>
    <row r="56" spans="1:14">
      <c r="B56" s="70" t="s">
        <v>62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</row>
    <row r="57" spans="1:14">
      <c r="B57" s="70" t="s">
        <v>63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4">
      <c r="B58" s="48" t="s">
        <v>64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 spans="1:14">
      <c r="B59" s="70" t="s">
        <v>65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0" spans="1:14">
      <c r="B60" s="70" t="s">
        <v>66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1:14">
      <c r="B61" s="48" t="s">
        <v>67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4">
      <c r="B62" s="70" t="s">
        <v>68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</row>
    <row r="63" spans="1:14">
      <c r="B63" s="70" t="s">
        <v>69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</row>
    <row r="64" spans="1:14">
      <c r="B64" s="70" t="s">
        <v>70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</row>
    <row r="65" spans="1:14">
      <c r="B65" s="70" t="s">
        <v>71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</row>
    <row r="66" spans="1:14">
      <c r="B66" s="70" t="s">
        <v>72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7" spans="1:14">
      <c r="B67" s="70" t="s">
        <v>73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</row>
    <row r="68" spans="1:14">
      <c r="B68" s="70" t="s">
        <v>74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14">
      <c r="B69" s="70" t="s">
        <v>75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1:14">
      <c r="B70" s="70" t="s">
        <v>76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</row>
    <row r="71" spans="1:14">
      <c r="B71" s="70" t="s">
        <v>77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</row>
    <row r="72" spans="1:14">
      <c r="B72" s="70" t="s">
        <v>78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</row>
    <row r="73" spans="1:14">
      <c r="B73" s="66" t="s">
        <v>79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</row>
    <row r="74" spans="1:14">
      <c r="B74" s="70" t="s">
        <v>80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</row>
    <row r="75" spans="1:14">
      <c r="B75" s="66" t="s">
        <v>81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</row>
    <row r="76" spans="1:14">
      <c r="B76" s="70" t="s">
        <v>82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</row>
    <row r="77" spans="1:14">
      <c r="B77" s="70" t="s">
        <v>83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1:14">
      <c r="B78" s="70" t="s">
        <v>84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1:14">
      <c r="B79" s="70" t="s">
        <v>85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1:14">
      <c r="B80" s="70" t="s">
        <v>86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1:14">
      <c r="A81" s="31"/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A82" s="31"/>
      <c r="B82" s="70" t="s">
        <v>88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</row>
    <row r="83" spans="1:14">
      <c r="A83" s="31"/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5" spans="1:14">
      <c r="C85" s="37"/>
      <c r="D85" s="37"/>
      <c r="E85" s="37"/>
      <c r="F85" s="37"/>
      <c r="G85" s="37"/>
      <c r="H85" s="37"/>
      <c r="I85" s="37"/>
    </row>
    <row r="86" spans="1:14">
      <c r="C86" s="37"/>
      <c r="D86" s="37"/>
      <c r="E86" s="37"/>
      <c r="F86" s="37"/>
      <c r="G86" s="37"/>
      <c r="H86" s="37"/>
      <c r="I86" s="37"/>
    </row>
    <row r="87" spans="1:14">
      <c r="C87" s="37"/>
      <c r="D87" s="37"/>
      <c r="E87" s="37"/>
      <c r="F87" s="37"/>
      <c r="G87" s="37"/>
      <c r="H87" s="37"/>
      <c r="I87" s="37"/>
    </row>
    <row r="88" spans="1:14">
      <c r="C88" s="37"/>
      <c r="D88" s="37"/>
      <c r="E88" s="37"/>
      <c r="F88" s="37"/>
      <c r="G88" s="37"/>
      <c r="H88" s="37"/>
      <c r="I88" s="37"/>
    </row>
    <row r="89" spans="1:14">
      <c r="C89" s="37"/>
      <c r="D89" s="37"/>
      <c r="E89" s="37"/>
      <c r="F89" s="37"/>
      <c r="G89" s="37"/>
      <c r="H89" s="37"/>
      <c r="I89" s="37"/>
    </row>
    <row r="90" spans="1:14">
      <c r="C90" s="37"/>
      <c r="D90" s="37"/>
      <c r="E90" s="37"/>
      <c r="F90" s="37"/>
      <c r="G90" s="37"/>
      <c r="H90" s="37"/>
      <c r="I90" s="37"/>
    </row>
    <row r="91" spans="1:14">
      <c r="C91" s="37"/>
      <c r="D91" s="37"/>
      <c r="E91" s="37"/>
      <c r="F91" s="37"/>
      <c r="G91" s="37"/>
      <c r="H91" s="37"/>
      <c r="I91" s="37"/>
    </row>
    <row r="92" spans="1:14" customHeight="1" ht="15.6">
      <c r="C92" s="37"/>
      <c r="D92" s="37"/>
      <c r="E92" s="37"/>
      <c r="F92" s="37"/>
      <c r="G92" s="37"/>
      <c r="H92" s="37"/>
      <c r="I92" s="37"/>
    </row>
    <row r="93" spans="1:14" customHeight="1" ht="15.6">
      <c r="C93" s="37"/>
      <c r="D93" s="37"/>
      <c r="E93" s="37"/>
      <c r="F93" s="37"/>
      <c r="G93" s="37"/>
      <c r="H93" s="37"/>
      <c r="I93" s="37"/>
    </row>
    <row r="94" spans="1:14">
      <c r="C94" s="37"/>
      <c r="D94" s="37"/>
      <c r="E94" s="37"/>
      <c r="F94" s="37"/>
      <c r="G94" s="37"/>
      <c r="H94" s="37"/>
      <c r="I94" s="37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B43:E43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3.423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19.995" bestFit="true" customWidth="true" style="0"/>
    <col min="8" max="8" width="29.421" bestFit="true" customWidth="true" style="0"/>
    <col min="9" max="9" width="25.851" bestFit="true" customWidth="true" style="0"/>
    <col min="10" max="10" width="10.569" bestFit="true" customWidth="true" style="0"/>
  </cols>
  <sheetData>
    <row r="3" spans="1:14">
      <c r="B3" s="74" t="s">
        <v>91</v>
      </c>
      <c r="C3"/>
      <c r="D3"/>
      <c r="E3"/>
      <c r="F3"/>
      <c r="G3"/>
    </row>
    <row r="5" spans="1:14">
      <c r="B5" s="76" t="s">
        <v>92</v>
      </c>
      <c r="C5" s="75" t="s">
        <v>49</v>
      </c>
      <c r="D5" s="75" t="s">
        <v>50</v>
      </c>
      <c r="E5" s="75" t="s">
        <v>51</v>
      </c>
      <c r="F5" s="75" t="s">
        <v>52</v>
      </c>
      <c r="G5" s="75" t="s">
        <v>53</v>
      </c>
      <c r="H5" s="75" t="s">
        <v>54</v>
      </c>
      <c r="I5" s="75" t="s">
        <v>55</v>
      </c>
      <c r="J5" s="75" t="s">
        <v>109</v>
      </c>
    </row>
    <row r="6" spans="1:14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0">
        <v>24.1</v>
      </c>
      <c r="M6" s="79" t="s">
        <v>107</v>
      </c>
      <c r="N6" s="79" t="s">
        <v>108</v>
      </c>
    </row>
    <row r="7" spans="1:14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81">
        <v>0.56</v>
      </c>
      <c r="M7" s="79" t="s">
        <v>19</v>
      </c>
      <c r="N7" s="79">
        <v>320.0</v>
      </c>
    </row>
    <row r="8" spans="1:14">
      <c r="B8" t="s">
        <v>95</v>
      </c>
      <c r="C8" s="78">
        <v>0.81857142857143</v>
      </c>
      <c r="D8" s="78">
        <v>1.65</v>
      </c>
      <c r="E8" s="78">
        <v>1.2</v>
      </c>
      <c r="F8" s="78">
        <v>1.36</v>
      </c>
      <c r="G8" s="78">
        <v>1.4</v>
      </c>
      <c r="H8" s="78">
        <v>1.4</v>
      </c>
      <c r="I8" s="78">
        <v>2.4857142857143</v>
      </c>
      <c r="J8"/>
    </row>
    <row r="9" spans="1:14">
      <c r="B9" s="77" t="s">
        <v>96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/>
    </row>
    <row r="10" spans="1:14">
      <c r="B10" t="s">
        <v>97</v>
      </c>
      <c r="C10">
        <v>70</v>
      </c>
      <c r="D10">
        <v>50</v>
      </c>
      <c r="E10">
        <v>60</v>
      </c>
      <c r="F10">
        <v>50</v>
      </c>
      <c r="G10">
        <v>50</v>
      </c>
      <c r="H10">
        <v>50</v>
      </c>
      <c r="I10">
        <v>70</v>
      </c>
      <c r="J10">
        <f>SUM(C10:I10)</f>
        <v>400</v>
      </c>
    </row>
    <row r="11" spans="1:14">
      <c r="B11" t="s">
        <v>98</v>
      </c>
      <c r="C11" s="78">
        <f>C8*C10</f>
        <v>57.3</v>
      </c>
      <c r="D11" s="78">
        <f>D8*D10</f>
        <v>82.5</v>
      </c>
      <c r="E11" s="78">
        <f>E8*E10</f>
        <v>72</v>
      </c>
      <c r="F11" s="78">
        <f>F8*F10</f>
        <v>68</v>
      </c>
      <c r="G11" s="78">
        <f>G8*G10</f>
        <v>70</v>
      </c>
      <c r="H11" s="78">
        <f>H8*H10</f>
        <v>70</v>
      </c>
      <c r="I11" s="78">
        <f>I8*I10</f>
        <v>174</v>
      </c>
      <c r="J11">
        <f>SUM(C11:I11)</f>
        <v>593.8</v>
      </c>
    </row>
    <row r="12" spans="1:14">
      <c r="B12" s="77" t="s">
        <v>99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/>
    </row>
    <row r="13" spans="1:14">
      <c r="B13" t="s">
        <v>100</v>
      </c>
      <c r="C13" s="82">
        <f>C11/J11</f>
        <v>0.096497137083193</v>
      </c>
      <c r="D13" s="82">
        <f>D11/J11</f>
        <v>0.13893566857528</v>
      </c>
      <c r="E13" s="82">
        <f>E11/J11</f>
        <v>0.12125294712024</v>
      </c>
      <c r="F13" s="82">
        <f>F11/J11</f>
        <v>0.11451667228023</v>
      </c>
      <c r="G13" s="82">
        <f>G11/J11</f>
        <v>0.11788480970024</v>
      </c>
      <c r="H13" s="82">
        <f>H11/J11</f>
        <v>0.11788480970024</v>
      </c>
      <c r="I13" s="82">
        <f>I11/J11</f>
        <v>0.29302795554059</v>
      </c>
      <c r="J13"/>
    </row>
    <row r="14" spans="1:14">
      <c r="B14" t="s">
        <v>101</v>
      </c>
      <c r="C14" s="78">
        <f>J14*C13</f>
        <v>18.527450319973</v>
      </c>
      <c r="D14" s="78">
        <f>J14*D13</f>
        <v>26.675648366453</v>
      </c>
      <c r="E14" s="78">
        <f>J14*E13</f>
        <v>23.280565847087</v>
      </c>
      <c r="F14" s="78">
        <f>J14*F13</f>
        <v>21.987201077804</v>
      </c>
      <c r="G14" s="78">
        <f>J14*G13</f>
        <v>22.633883462445</v>
      </c>
      <c r="H14" s="78">
        <f>J14*H13</f>
        <v>22.633883462445</v>
      </c>
      <c r="I14" s="78">
        <f>J14*I13</f>
        <v>56.261367463793</v>
      </c>
      <c r="J14">
        <f>IF(J7&lt;1, N7*0.6, N7*0.6*J7)</f>
        <v>192</v>
      </c>
    </row>
    <row r="15" spans="1:14">
      <c r="B15" t="s">
        <v>102</v>
      </c>
      <c r="C15" s="78">
        <f>C11+C14</f>
        <v>75.827450319973</v>
      </c>
      <c r="D15" s="78">
        <f>D11+D14</f>
        <v>109.17564836645</v>
      </c>
      <c r="E15" s="78">
        <f>E11+E14</f>
        <v>95.280565847087</v>
      </c>
      <c r="F15" s="78">
        <f>F11+F14</f>
        <v>89.987201077804</v>
      </c>
      <c r="G15" s="78">
        <f>G11+G14</f>
        <v>92.633883462445</v>
      </c>
      <c r="H15" s="78">
        <f>H11+H14</f>
        <v>92.633883462445</v>
      </c>
      <c r="I15" s="78">
        <f>I11+I14</f>
        <v>230.26136746379</v>
      </c>
      <c r="J15"/>
    </row>
    <row r="16" spans="1:14">
      <c r="B16" s="77" t="s">
        <v>103</v>
      </c>
      <c r="C16" s="78">
        <f>C12+C14</f>
        <v>18.527450319973</v>
      </c>
      <c r="D16" s="78">
        <f>D12+D14</f>
        <v>26.675648366453</v>
      </c>
      <c r="E16" s="78">
        <f>E12+E14</f>
        <v>23.280565847087</v>
      </c>
      <c r="F16" s="78">
        <f>F12+F14</f>
        <v>21.987201077804</v>
      </c>
      <c r="G16" s="78">
        <f>G12+G14</f>
        <v>22.633883462445</v>
      </c>
      <c r="H16" s="78">
        <f>H12+H14</f>
        <v>22.633883462445</v>
      </c>
      <c r="I16" s="78">
        <f>I12+I14</f>
        <v>56.261367463793</v>
      </c>
      <c r="J16"/>
    </row>
    <row r="17" spans="1:14">
      <c r="B17" t="s">
        <v>104</v>
      </c>
      <c r="C17" s="78">
        <f>IF(J11&gt;5000,100*C13,50*C13)</f>
        <v>4.8248568541596</v>
      </c>
      <c r="D17" s="78">
        <f>IF(J11&gt;5000,100*D13,50*D13)</f>
        <v>6.9467834287639</v>
      </c>
      <c r="E17" s="78">
        <f>IF(J11&gt;5000,100*E13,50*E13)</f>
        <v>6.0626473560121</v>
      </c>
      <c r="F17" s="78">
        <f>IF(J11&gt;5000,100*F13,50*F13)</f>
        <v>5.7258336140114</v>
      </c>
      <c r="G17" s="78">
        <f>IF(J11&gt;5000,100*G13,50*G13)</f>
        <v>5.8942404850118</v>
      </c>
      <c r="H17" s="78">
        <f>IF(J11&gt;5000,100*H13,50*H13)</f>
        <v>5.8942404850118</v>
      </c>
      <c r="I17" s="78">
        <f>IF(J11&gt;5000,100*I13,50*I13)</f>
        <v>14.651397777029</v>
      </c>
      <c r="J17"/>
    </row>
    <row r="18" spans="1:14">
      <c r="B18" t="s">
        <v>105</v>
      </c>
      <c r="C18" s="78">
        <f>C15+C17</f>
        <v>80.652307174133</v>
      </c>
      <c r="D18" s="78">
        <f>D15+D17</f>
        <v>116.12243179522</v>
      </c>
      <c r="E18" s="78">
        <f>E15+E17</f>
        <v>101.3432132031</v>
      </c>
      <c r="F18" s="78">
        <f>F15+F17</f>
        <v>95.713034691815</v>
      </c>
      <c r="G18" s="78">
        <f>G15+G17</f>
        <v>98.528123947457</v>
      </c>
      <c r="H18" s="78">
        <f>H15+H17</f>
        <v>98.528123947457</v>
      </c>
      <c r="I18" s="78">
        <f>I15+I17</f>
        <v>244.91276524082</v>
      </c>
      <c r="J18"/>
    </row>
    <row r="19" spans="1:14">
      <c r="B19" s="77" t="s">
        <v>106</v>
      </c>
      <c r="C19" s="78">
        <f>C16+C17</f>
        <v>23.352307174133</v>
      </c>
      <c r="D19" s="78">
        <f>D16+D17</f>
        <v>33.622431795217</v>
      </c>
      <c r="E19" s="78">
        <f>E16+E17</f>
        <v>29.343213203099</v>
      </c>
      <c r="F19" s="78">
        <f>F16+F17</f>
        <v>27.713034691815</v>
      </c>
      <c r="G19" s="78">
        <f>G16+G17</f>
        <v>28.528123947457</v>
      </c>
      <c r="H19" s="78">
        <f>H16+H17</f>
        <v>28.528123947457</v>
      </c>
      <c r="I19" s="78">
        <f>I16+I17</f>
        <v>70.912765240822</v>
      </c>
      <c r="J19"/>
    </row>
    <row r="23" spans="1:14">
      <c r="B23" s="74" t="s">
        <v>116</v>
      </c>
      <c r="C23"/>
      <c r="D23"/>
      <c r="E23"/>
    </row>
    <row r="26" spans="1:14">
      <c r="B26" t="s">
        <v>117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f>SUM(C26:I26)</f>
        <v>0</v>
      </c>
    </row>
    <row r="27" spans="1:14">
      <c r="C27" s="83">
        <v>0.0</v>
      </c>
      <c r="D27" s="83">
        <v>0.0</v>
      </c>
      <c r="E27" s="83">
        <v>0.06</v>
      </c>
      <c r="F27" s="83">
        <v>0.0</v>
      </c>
      <c r="G27" s="83">
        <v>0.0</v>
      </c>
      <c r="H27" s="83">
        <v>0.0</v>
      </c>
      <c r="I27" s="83">
        <v>0.0</v>
      </c>
      <c r="J27" s="82">
        <f>SUM(C27:I27)</f>
        <v>0.06</v>
      </c>
    </row>
    <row r="28" spans="1:14">
      <c r="B28" t="s">
        <v>110</v>
      </c>
      <c r="C28" s="78">
        <f>MAX(C19,C18)*C27</f>
        <v>0</v>
      </c>
      <c r="D28" s="78">
        <f>MAX(D19,D18)*D27</f>
        <v>0</v>
      </c>
      <c r="E28" s="78">
        <f>MAX(E19,E18)*E27</f>
        <v>6.0805927921859</v>
      </c>
      <c r="F28" s="78">
        <f>MAX(F19,F18)*F27</f>
        <v>0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SUM(C28:I28)</f>
        <v>6.0805927921859</v>
      </c>
    </row>
    <row r="29" spans="1:14">
      <c r="B29" t="s">
        <v>31</v>
      </c>
      <c r="C29" s="78">
        <f>0.16*(MAX(C19,C18)+C28)</f>
        <v>12.904369147861</v>
      </c>
      <c r="D29" s="78">
        <f>0.16*(MAX(D19,D18)+D28)</f>
        <v>18.579589087235</v>
      </c>
      <c r="E29" s="78">
        <f>0.16*(MAX(E19,E18)+E28)</f>
        <v>17.187808959246</v>
      </c>
      <c r="F29" s="78">
        <f>0.16*(MAX(F19,F18)+F28)</f>
        <v>15.31408555069</v>
      </c>
      <c r="G29" s="78">
        <f>0.16*(MAX(G19,G18)+G28)</f>
        <v>15.764499831593</v>
      </c>
      <c r="H29" s="78">
        <f>0.16*(MAX(H19,H18)+H28)</f>
        <v>15.764499831593</v>
      </c>
      <c r="I29" s="78">
        <f>0.16*(MAX(I19,I18)+I28)</f>
        <v>39.186042438532</v>
      </c>
      <c r="J29" s="78">
        <f>SUM(C29:I29)</f>
        <v>134.70089484675</v>
      </c>
    </row>
    <row r="30" spans="1:14">
      <c r="B30" t="s">
        <v>32</v>
      </c>
      <c r="C30" s="78">
        <f>0.02*(MAX(C19,C18)+C28)</f>
        <v>1.6130461434827</v>
      </c>
      <c r="D30" s="78">
        <f>0.02*(MAX(D19,D18)+D28)</f>
        <v>2.3224486359043</v>
      </c>
      <c r="E30" s="78">
        <f>0.02*(MAX(E19,E18)+E28)</f>
        <v>2.1484761199057</v>
      </c>
      <c r="F30" s="78">
        <f>0.02*(MAX(F19,F18)+F28)</f>
        <v>1.9142606938363</v>
      </c>
      <c r="G30" s="78">
        <f>0.02*(MAX(G19,G18)+G28)</f>
        <v>1.9705624789491</v>
      </c>
      <c r="H30" s="78">
        <f>0.02*(MAX(H19,H18)+H28)</f>
        <v>1.9705624789491</v>
      </c>
      <c r="I30" s="78">
        <f>0.02*(MAX(I19,I18)+I28)</f>
        <v>4.8982553048165</v>
      </c>
      <c r="J30" s="78">
        <f>SUM(C30:I30)</f>
        <v>16.837611855844</v>
      </c>
    </row>
    <row r="31" spans="1:14">
      <c r="B31" t="s">
        <v>111</v>
      </c>
      <c r="C31" s="78">
        <f>0.035*(MAX(C18,C19) +C28+C29+C30)</f>
        <v>3.3309402862917</v>
      </c>
      <c r="D31" s="78">
        <f>0.035*(MAX(D18,D19) +D28+D29+D30)</f>
        <v>4.7958564331425</v>
      </c>
      <c r="E31" s="78">
        <f>0.035*(MAX(E18,E19) +E28+E29+E30)</f>
        <v>4.4366031876053</v>
      </c>
      <c r="F31" s="78">
        <f>0.035*(MAX(F18,F19) +F28+F29+F30)</f>
        <v>3.952948332772</v>
      </c>
      <c r="G31" s="78">
        <f>0.035*(MAX(G18,G19) +G28+G29+G30)</f>
        <v>4.06921151903</v>
      </c>
      <c r="H31" s="78">
        <f>0.035*(MAX(H18,H19) +H28+H29+H30)</f>
        <v>4.06921151903</v>
      </c>
      <c r="I31" s="78">
        <f>0.035*(MAX(I18,I19) +I28+I29+I30)</f>
        <v>10.114897204446</v>
      </c>
      <c r="J31" s="78">
        <f>SUM(C31:I31)</f>
        <v>34.769668482317</v>
      </c>
    </row>
    <row r="32" spans="1:14">
      <c r="B32" t="s">
        <v>36</v>
      </c>
      <c r="C32" s="78">
        <f>SUM(C28:C31)</f>
        <v>17.848355577636</v>
      </c>
      <c r="D32" s="78">
        <f>SUM(D28:D31)</f>
        <v>25.697894156282</v>
      </c>
      <c r="E32" s="78">
        <f>SUM(E28:E31)</f>
        <v>29.853481058942</v>
      </c>
      <c r="F32" s="78">
        <f>SUM(F28:F31)</f>
        <v>21.181294577299</v>
      </c>
      <c r="G32" s="78">
        <f>SUM(G28:G31)</f>
        <v>21.804273829572</v>
      </c>
      <c r="H32" s="78">
        <f>SUM(H28:H31)</f>
        <v>21.804273829572</v>
      </c>
      <c r="I32" s="78">
        <f>SUM(I28:I31)</f>
        <v>54.199194947794</v>
      </c>
      <c r="J32" s="78">
        <f>SUM(J28:J31)</f>
        <v>192.3887679771</v>
      </c>
    </row>
    <row r="37" spans="1:14">
      <c r="B37" s="74" t="s">
        <v>118</v>
      </c>
      <c r="C37"/>
      <c r="D37"/>
      <c r="E37"/>
    </row>
    <row r="40" spans="1:14">
      <c r="B40" t="s">
        <v>112</v>
      </c>
      <c r="C40" s="78">
        <f>C13*J40</f>
        <v>12.351633546649</v>
      </c>
      <c r="D40" s="78">
        <f>D13*J40</f>
        <v>17.783765577636</v>
      </c>
      <c r="E40" s="78">
        <f>E13*J40</f>
        <v>15.520377231391</v>
      </c>
      <c r="F40" s="78">
        <f>F13*J40</f>
        <v>14.658134051869</v>
      </c>
      <c r="G40" s="78">
        <f>G13*J40</f>
        <v>15.08925564163</v>
      </c>
      <c r="H40" s="78">
        <f>H13*J40</f>
        <v>15.08925564163</v>
      </c>
      <c r="I40" s="78">
        <f>I13*J40</f>
        <v>37.507578309195</v>
      </c>
      <c r="J40">
        <f>IF(J7&lt;1, N7*0.4,N7*0.4*J7)</f>
        <v>128</v>
      </c>
    </row>
    <row r="41" spans="1:14">
      <c r="B41"/>
    </row>
    <row r="43" spans="1:14">
      <c r="B43" t="s">
        <v>112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109</v>
      </c>
    </row>
    <row r="44" spans="1:14">
      <c r="B44" t="s">
        <v>113</v>
      </c>
      <c r="C44" s="78">
        <f>SUM(C15,C40,C32,(C26))</f>
        <v>106.02743944426</v>
      </c>
      <c r="D44" s="78">
        <f>SUM(D15,D40,D32,(D26))</f>
        <v>152.65730810037</v>
      </c>
      <c r="E44" s="78">
        <f>SUM(E15,E40,E32,(E26))</f>
        <v>140.65442413742</v>
      </c>
      <c r="F44" s="78">
        <f>SUM(F15,F40,F32,(F26))</f>
        <v>125.82662970697</v>
      </c>
      <c r="G44" s="78">
        <f>SUM(G15,G40,G32,(G26))</f>
        <v>129.52741293365</v>
      </c>
      <c r="H44" s="78">
        <f>SUM(H15,H40,H32,(H26))</f>
        <v>129.52741293365</v>
      </c>
      <c r="I44" s="78">
        <f>SUM(I15,I40,I32,(I26))</f>
        <v>321.96814072078</v>
      </c>
      <c r="J44" s="78">
        <f>SUM(C44:I44)</f>
        <v>1106.1887679771</v>
      </c>
    </row>
    <row r="45" spans="1:14">
      <c r="B45" t="s">
        <v>45</v>
      </c>
      <c r="C45">
        <v>70</v>
      </c>
      <c r="D45">
        <v>50</v>
      </c>
      <c r="E45">
        <v>60</v>
      </c>
      <c r="F45">
        <v>50</v>
      </c>
      <c r="G45">
        <v>50</v>
      </c>
      <c r="H45">
        <v>50</v>
      </c>
      <c r="I45">
        <v>70</v>
      </c>
      <c r="J45"/>
    </row>
    <row r="46" spans="1:14">
      <c r="B46" t="s">
        <v>114</v>
      </c>
      <c r="C46" s="78">
        <f>SUM(C44/C45)</f>
        <v>1.5146777063465</v>
      </c>
      <c r="D46" s="78">
        <f>SUM(D44/D45)</f>
        <v>3.0531461620074</v>
      </c>
      <c r="E46" s="78">
        <f>SUM(E44/E45)</f>
        <v>2.3442404022903</v>
      </c>
      <c r="F46" s="78">
        <f>SUM(F44/F45)</f>
        <v>2.5165325941394</v>
      </c>
      <c r="G46" s="78">
        <f>SUM(G44/G45)</f>
        <v>2.590548258673</v>
      </c>
      <c r="H46" s="78">
        <f>SUM(H44/H45)</f>
        <v>2.590548258673</v>
      </c>
      <c r="I46" s="78">
        <f>SUM(I44/I45)</f>
        <v>4.5995448674398</v>
      </c>
      <c r="J46"/>
    </row>
    <row r="47" spans="1:14">
      <c r="B47" t="s">
        <v>115</v>
      </c>
      <c r="C47" s="84">
        <f>C46*3.7</f>
        <v>5.6043075134822</v>
      </c>
      <c r="D47" s="84">
        <f>D46*3.7</f>
        <v>11.296640799427</v>
      </c>
      <c r="E47" s="84">
        <f>E46*3.7</f>
        <v>8.6736894884742</v>
      </c>
      <c r="F47" s="84">
        <f>F46*3.7</f>
        <v>9.3111705983159</v>
      </c>
      <c r="G47" s="84">
        <f>G46*3.7</f>
        <v>9.5850285570899</v>
      </c>
      <c r="H47" s="84">
        <f>H46*3.7</f>
        <v>9.5850285570899</v>
      </c>
      <c r="I47" s="84">
        <f>I46*3.7</f>
        <v>17.018316009527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