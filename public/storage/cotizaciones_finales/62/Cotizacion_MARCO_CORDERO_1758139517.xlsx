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<sst xmlns="http://schemas.openxmlformats.org/spreadsheetml/2006/main" uniqueCount="116">
  <si>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</si>
  <si>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</si>
  <si>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</si>
  <si>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</si>
  <si>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MARCO CORDERO</t>
  </si>
  <si>
    <t>SERVICIO:</t>
  </si>
  <si>
    <t>CARGA CONSOLIDADA</t>
  </si>
  <si>
    <t>N° CAJAS:</t>
  </si>
  <si>
    <t>APELLIDO:</t>
  </si>
  <si>
    <t>FECHA:</t>
  </si>
  <si>
    <t>PESO:</t>
  </si>
  <si>
    <t>328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</si>
  <si>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</si>
  <si>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</si>
  <si>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</si>
  <si>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</si>
  <si>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</si>
  <si>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</si>
  <si>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</si>
  <si>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</si>
  <si>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</si>
  <si>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</si>
  <si>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</si>
  <si>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</si>
  <si>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</si>
  <si>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</si>
  <si>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</si>
  <si>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</si>
  <si>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</si>
  <si>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</si>
  <si>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</si>
  <si>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</si>
  <si>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</si>
  <si>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</si>
  <si>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</si>
  <si>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</si>
  <si>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</si>
  <si>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</si>
  <si>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</si>
  <si>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</si>
  <si>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</si>
  <si>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</si>
  <si>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</si>
  <si>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</si>
  <si>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</si>
  <si>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</si>
  <si>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</si>
  <si>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</si>
  <si>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TANQUE MEZCLADORA DE LIQUIDOS</t>
  </si>
  <si>
    <t>SACOS DE RESINA PARA PURIFICACION DE AGUA</t>
  </si>
  <si>
    <t>PANEL LED PARA PUBLICIDAD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</si>
  <si>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</si>
  <si>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</si>
  <si>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</si>
  <si>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</si>
  <si>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</si>
  <si>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</si>
  <si>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</si>
  <si>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</si>
  <si>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</si>
  <si>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</si>
  <si>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</si>
  <si>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</si>
  <si>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</si>
  <si>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</si>
  <si>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</si>
  <si>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</si>
  <si>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</si>
  <si>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</si>
  <si>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</si>
  <si>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</si>
  <si>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</si>
  <si>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</si>
  <si>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</si>
  <si>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</si>
  <si>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</si>
  <si>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</si>
  <si>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</si>
  <si>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</si>
  <si>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</si>
  <si>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</si>
  <si>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</si>
  <si>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</si>
  <si>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</si>
  <si>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</si>
  <si>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</si>
  <si>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</si>
  <si>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MARCO CORDERO 😁 un gusto saludarte!
A continuación te envío la cotización final de tu importación📋📦.
🙋‍♂️ PAGO PENDIENTE :
☑️Costo CBM: $686.25
☑️Impuestos: $174.9
☑️ Total: $861.15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</si>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</sst>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_ ;_-[$$-409]* \-#,##0.0\ ;_-[$$-409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_-"/>
    <numFmt numFmtId="172" formatCode="0.00&quot; Kg&quot;"/>
    <numFmt numFmtId="173" formatCode="&quot;S/.&quot; #,##0.00_-"/>
    <numFmt numFmtId="174" formatCode="_-[$$-409]* #,##0.00_ ;_-[$$-409]* \-#,##0.00\ ;_-[$$-409]* &quot;-&quot;??_ ;_-@_ "/>
  </numFmts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4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6" fillId="2" borderId="0" applyFont="1" applyNumberFormat="1" applyFill="1" applyBorder="0" applyAlignment="0"/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5" numFmtId="167" fillId="2" borderId="0" applyFont="1" applyNumberFormat="1" applyFill="1" applyBorder="0" applyAlignment="1">
      <alignment horizontal="right" vertical="bottom" textRotation="0" wrapText="false" shrinkToFit="false"/>
    </xf>
    <xf xfId="0" fontId="6" numFmtId="167" fillId="2" borderId="0" applyFont="1" applyNumberFormat="1" applyFill="1" applyBorder="0" applyAlignment="1">
      <alignment horizontal="left" vertical="bottom" textRotation="0" wrapText="false" shrinkToFit="false"/>
    </xf>
    <xf xfId="0" fontId="1" numFmtId="167" fillId="2" borderId="0" applyFont="1" applyNumberFormat="1" applyFill="1" applyBorder="0" applyAlignment="0"/>
    <xf xfId="0" fontId="0" numFmtId="167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7" numFmtId="0" fillId="2" borderId="8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9" applyFont="1" applyNumberFormat="0" applyFill="1" applyBorder="1" applyAlignment="0"/>
    <xf xfId="0" fontId="7" numFmtId="167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7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7" fillId="3" borderId="11" applyFont="1" applyNumberFormat="1" applyFill="1" applyBorder="1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1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2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3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8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0" fillId="2" borderId="10" applyFont="1" applyNumberFormat="0" applyFill="1" applyBorder="1" applyAlignment="1">
      <alignment horizontal="center" vertical="bottom" textRotation="0" wrapText="false" shrinkToFit="false"/>
    </xf>
    <xf xfId="0" fontId="18" numFmtId="0" fillId="2" borderId="6" applyFont="1" applyNumberFormat="0" applyFill="1" applyBorder="1" applyAlignment="1">
      <alignment horizontal="center" vertical="bottom" textRotation="0" wrapText="false" shrinkToFit="false"/>
    </xf>
    <xf xfId="0" fontId="18" numFmtId="0" fillId="2" borderId="11" applyFont="1" applyNumberFormat="0" applyFill="1" applyBorder="1" applyAlignment="1">
      <alignment horizontal="center" vertical="bottom" textRotation="0" wrapText="false" shrinkToFit="false"/>
    </xf>
    <xf xfId="0" fontId="18" numFmtId="171" fillId="2" borderId="10" applyFont="1" applyNumberFormat="1" applyFill="1" applyBorder="1" applyAlignment="1">
      <alignment horizontal="center" vertical="bottom" textRotation="0" wrapText="false" shrinkToFit="false"/>
    </xf>
    <xf xfId="0" fontId="18" numFmtId="174" fillId="2" borderId="11" applyFont="1" applyNumberFormat="1" applyFill="1" applyBorder="1" applyAlignment="1">
      <alignment horizontal="center" vertical="bottom" textRotation="0" wrapText="false" shrinkToFit="false"/>
    </xf>
    <xf xfId="0" fontId="19" numFmtId="173" fillId="3" borderId="1" applyFont="1" applyNumberFormat="1" applyFill="1" applyBorder="1" applyAlignment="1">
      <alignment horizontal="center" vertical="bottom" textRotation="0" wrapText="false" shrinkToFit="false"/>
    </xf>
    <xf xfId="0" fontId="19" numFmtId="173" fillId="3" borderId="10" applyFont="1" applyNumberFormat="1" applyFill="1" applyBorder="1" applyAlignment="1">
      <alignment horizontal="center" vertical="bottom" textRotation="0" wrapText="false" shrinkToFit="false"/>
    </xf>
    <xf xfId="0" fontId="5" numFmtId="171" fillId="2" borderId="7" applyFont="1" applyNumberFormat="1" applyFill="1" applyBorder="1" applyAlignment="1">
      <alignment horizontal="center" vertical="bottom" textRotation="0" wrapText="false" shrinkToFit="false"/>
    </xf>
    <xf xfId="0" fontId="5" numFmtId="167" fillId="2" borderId="0" applyFont="1" applyNumberFormat="1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39" sqref="B39:L39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4" customHeight="1" ht="18">
      <c r="B2" s="43"/>
      <c r="C2" s="43"/>
      <c r="E2" s="48"/>
      <c r="F2" s="48"/>
      <c r="G2" s="48"/>
      <c r="H2" s="48"/>
      <c r="I2" s="48"/>
      <c r="J2" s="48"/>
      <c r="K2" s="48"/>
      <c r="L2" s="48"/>
    </row>
    <row r="3" spans="1:14" customHeight="1" ht="25.8">
      <c r="B3" s="43"/>
      <c r="C3" s="43"/>
      <c r="E3" s="59" t="s">
        <v>0</v>
      </c>
      <c r="F3" s="59"/>
      <c r="G3" s="59"/>
      <c r="H3" s="59"/>
      <c r="I3" s="59"/>
      <c r="J3" s="59"/>
    </row>
    <row r="4" spans="1:14" customHeight="1" ht="25.8">
      <c r="B4" s="43"/>
      <c r="C4" s="43"/>
      <c r="E4" s="60" t="s">
        <v>1</v>
      </c>
      <c r="F4" s="60"/>
      <c r="G4" s="60"/>
      <c r="H4" s="60"/>
      <c r="I4" s="60"/>
      <c r="J4" s="60"/>
      <c r="K4" s="11"/>
    </row>
    <row r="5" spans="1:14">
      <c r="B5" s="43"/>
      <c r="C5" s="43"/>
      <c r="D5" s="41"/>
    </row>
    <row r="6" spans="1:14">
      <c r="B6" s="43"/>
      <c r="C6" s="43"/>
      <c r="D6" s="25"/>
      <c r="F6" s="25"/>
      <c r="G6" s="25"/>
      <c r="H6" s="25"/>
    </row>
    <row r="7" spans="1:14">
      <c r="A7" s="43"/>
      <c r="B7" s="43"/>
      <c r="C7" s="43"/>
      <c r="E7" s="45" t="s">
        <v>2</v>
      </c>
      <c r="F7" s="45"/>
      <c r="G7" s="45"/>
      <c r="I7" s="43"/>
      <c r="J7" s="43"/>
      <c r="K7" s="43"/>
      <c r="L7" s="43"/>
    </row>
    <row r="8" spans="1:14">
      <c r="B8" s="6" t="s">
        <v>3</v>
      </c>
      <c r="C8" s="91" t="s">
        <v>4</v>
      </c>
      <c r="D8" s="39"/>
      <c r="E8" s="22" t="s">
        <v>5</v>
      </c>
      <c r="F8" s="50" t="s">
        <v>6</v>
      </c>
      <c r="G8" s="51"/>
      <c r="H8" s="38"/>
      <c r="I8" s="1" t="s">
        <v>7</v>
      </c>
      <c r="J8" s="67">
        <f>+'2'!F7</f>
        <v>1.77</v>
      </c>
      <c r="K8" s="67"/>
      <c r="L8" s="67"/>
    </row>
    <row r="9" spans="1:14">
      <c r="B9" s="6" t="s">
        <v>8</v>
      </c>
      <c r="C9" s="15"/>
      <c r="D9" s="39"/>
      <c r="E9" s="23" t="s">
        <v>9</v>
      </c>
      <c r="F9" s="46">
        <f>+TODAY()</f>
        <v>45917</v>
      </c>
      <c r="G9" s="47"/>
      <c r="H9" s="38"/>
      <c r="I9" s="1" t="s">
        <v>10</v>
      </c>
      <c r="J9" s="92" t="s">
        <v>11</v>
      </c>
      <c r="K9" s="44"/>
      <c r="L9" s="44"/>
    </row>
    <row r="10" spans="1:14">
      <c r="B10" s="6" t="s">
        <v>12</v>
      </c>
      <c r="C10" s="15"/>
      <c r="D10" s="39"/>
      <c r="E10" s="27" t="s">
        <v>13</v>
      </c>
      <c r="F10" s="48" t="s">
        <v>14</v>
      </c>
      <c r="G10" s="49"/>
      <c r="H10" s="38"/>
      <c r="I10" s="1" t="s">
        <v>15</v>
      </c>
      <c r="J10" s="68">
        <v>0</v>
      </c>
      <c r="K10" s="68"/>
      <c r="L10" s="68"/>
    </row>
    <row r="11" spans="1:14">
      <c r="B11" s="6" t="s">
        <v>16</v>
      </c>
      <c r="C11" s="16">
        <v>51923338802</v>
      </c>
      <c r="D11" s="40"/>
      <c r="E11" s="24" t="s">
        <v>17</v>
      </c>
      <c r="F11" s="53" t="s">
        <v>18</v>
      </c>
      <c r="G11" s="70"/>
      <c r="H11" s="38"/>
      <c r="I11" s="1" t="s">
        <v>19</v>
      </c>
      <c r="J11" s="93">
        <f>'2'!E7</f>
        <v>0</v>
      </c>
      <c r="K11" s="79"/>
      <c r="L11" s="79"/>
    </row>
    <row r="12" spans="1:14"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</row>
    <row r="13" spans="1:14">
      <c r="B13" s="71" t="s">
        <v>20</v>
      </c>
      <c r="C13" s="71"/>
      <c r="D13" s="71"/>
      <c r="E13" s="71"/>
      <c r="F13" s="71"/>
      <c r="G13" s="71"/>
      <c r="H13" s="71"/>
      <c r="I13" s="71"/>
      <c r="J13" s="71"/>
      <c r="K13" s="8" t="s">
        <v>21</v>
      </c>
      <c r="L13" s="8" t="s">
        <v>22</v>
      </c>
    </row>
    <row r="14" spans="1:14">
      <c r="B14" s="72" t="s">
        <v>23</v>
      </c>
      <c r="C14" s="72"/>
      <c r="D14" s="72"/>
      <c r="E14" s="72"/>
      <c r="F14" s="72"/>
      <c r="G14" s="72"/>
      <c r="H14" s="72"/>
      <c r="I14" s="72"/>
      <c r="J14" s="72"/>
      <c r="K14" s="13">
        <f>'2'!E11</f>
        <v>292.5</v>
      </c>
      <c r="L14" s="7" t="s">
        <v>24</v>
      </c>
    </row>
    <row r="15" spans="1:14">
      <c r="B15" s="73" t="s">
        <v>25</v>
      </c>
      <c r="C15" s="73"/>
      <c r="D15" s="73"/>
      <c r="E15" s="73"/>
      <c r="F15" s="73"/>
      <c r="G15" s="73"/>
      <c r="H15" s="73"/>
      <c r="I15" s="73"/>
      <c r="J15" s="73"/>
      <c r="K15" s="14">
        <f>'2'!E14 + '2'!E17</f>
        <v>75.071929573433</v>
      </c>
      <c r="L15" s="10" t="s">
        <v>24</v>
      </c>
    </row>
    <row r="16" spans="1:14">
      <c r="B16" s="56" t="s">
        <v>26</v>
      </c>
      <c r="C16" s="56"/>
      <c r="D16" s="56"/>
      <c r="E16" s="56"/>
      <c r="F16" s="56"/>
      <c r="G16" s="56"/>
      <c r="H16" s="56"/>
      <c r="I16" s="56"/>
      <c r="J16" s="56"/>
      <c r="K16" s="13">
        <f>SUM(K14:K15)</f>
        <v>367.57192957343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4" t="s">
        <v>27</v>
      </c>
      <c r="C19" s="74"/>
      <c r="D19" s="74"/>
      <c r="E19" s="74"/>
      <c r="F19" s="74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4" t="s">
        <v>29</v>
      </c>
      <c r="C20" s="54"/>
      <c r="D20" s="54"/>
      <c r="E20" s="54"/>
      <c r="F20" s="54"/>
      <c r="G20" s="54"/>
      <c r="H20" s="54"/>
      <c r="I20" s="54"/>
      <c r="J20" s="19">
        <f>MAX('2'!C26:E26)</f>
        <v>0</v>
      </c>
      <c r="K20" s="13">
        <f>'2'!E28</f>
        <v>0</v>
      </c>
      <c r="L20" s="7" t="s">
        <v>24</v>
      </c>
      <c r="N20" t="s">
        <v>87</v>
      </c>
    </row>
    <row r="21" spans="1:14">
      <c r="B21" s="54" t="s">
        <v>30</v>
      </c>
      <c r="C21" s="54"/>
      <c r="D21" s="54"/>
      <c r="E21" s="54"/>
      <c r="F21" s="54"/>
      <c r="G21" s="54"/>
      <c r="H21" s="54"/>
      <c r="I21" s="54"/>
      <c r="J21" s="19">
        <v>0.16</v>
      </c>
      <c r="K21" s="13">
        <f>'2'!E29</f>
        <v>58.811508731749</v>
      </c>
      <c r="L21" s="7" t="s">
        <v>24</v>
      </c>
    </row>
    <row r="22" spans="1:14">
      <c r="B22" s="53" t="s">
        <v>31</v>
      </c>
      <c r="C22" s="53"/>
      <c r="D22" s="53"/>
      <c r="E22" s="53"/>
      <c r="F22" s="53"/>
      <c r="G22" s="53"/>
      <c r="H22" s="53"/>
      <c r="I22" s="53"/>
      <c r="J22" s="19">
        <v>0.02</v>
      </c>
      <c r="K22" s="13">
        <f>'2'!E30</f>
        <v>7.3514385914687</v>
      </c>
      <c r="L22" s="7" t="s">
        <v>24</v>
      </c>
    </row>
    <row r="23" spans="1:14">
      <c r="B23" s="56" t="s">
        <v>32</v>
      </c>
      <c r="C23" s="56"/>
      <c r="D23" s="56"/>
      <c r="E23" s="56"/>
      <c r="F23" s="56"/>
      <c r="G23" s="56"/>
      <c r="H23" s="56"/>
      <c r="I23" s="56"/>
      <c r="J23" s="31"/>
      <c r="K23" s="32">
        <f>SUM(K20:K22)</f>
        <v>66.162947323218</v>
      </c>
      <c r="L23" s="31" t="s">
        <v>24</v>
      </c>
    </row>
    <row r="24" spans="1:14">
      <c r="B24" s="54"/>
      <c r="C24" s="54"/>
      <c r="D24" s="54"/>
      <c r="E24" s="54"/>
      <c r="F24" s="54"/>
      <c r="G24" s="54"/>
      <c r="H24" s="54"/>
      <c r="I24" s="54"/>
      <c r="J24" s="2"/>
      <c r="K24" s="9"/>
      <c r="L24" s="7"/>
    </row>
    <row r="25" spans="1:14">
      <c r="B25" s="53" t="s">
        <v>33</v>
      </c>
      <c r="C25" s="53"/>
      <c r="D25" s="53"/>
      <c r="E25" s="53"/>
      <c r="F25" s="53"/>
      <c r="G25" s="53"/>
      <c r="H25" s="53"/>
      <c r="I25" s="53"/>
      <c r="J25" s="20" t="s">
        <v>34</v>
      </c>
      <c r="K25" s="14">
        <f>'2'!E31</f>
        <v>15.180720691383</v>
      </c>
      <c r="L25" s="10" t="s">
        <v>24</v>
      </c>
    </row>
    <row r="26" spans="1:14">
      <c r="B26" s="56" t="s">
        <v>35</v>
      </c>
      <c r="C26" s="56"/>
      <c r="D26" s="56"/>
      <c r="E26" s="56"/>
      <c r="F26" s="56"/>
      <c r="G26" s="56"/>
      <c r="H26" s="56"/>
      <c r="I26" s="56"/>
      <c r="K26" s="13">
        <f>K23+K25</f>
        <v>81.343668014601</v>
      </c>
      <c r="L26" s="7" t="s">
        <v>24</v>
      </c>
    </row>
    <row r="27" spans="1:14">
      <c r="B27" s="48"/>
      <c r="C27" s="48"/>
      <c r="D27" s="48"/>
      <c r="E27" s="48"/>
      <c r="F27" s="48"/>
      <c r="G27" s="48"/>
      <c r="H27" s="48"/>
      <c r="I27" s="48"/>
    </row>
    <row r="28" spans="1:14" customHeight="1" ht="15.6">
      <c r="B28" s="57" t="s">
        <v>36</v>
      </c>
      <c r="C28" s="57"/>
      <c r="D28" s="57"/>
      <c r="E28" s="57"/>
      <c r="F28" s="57"/>
      <c r="G28" s="57"/>
      <c r="H28" s="57"/>
      <c r="I28" s="57"/>
      <c r="J28" s="57"/>
      <c r="K28" s="28" t="s">
        <v>21</v>
      </c>
      <c r="L28" s="28" t="s">
        <v>22</v>
      </c>
    </row>
    <row r="29" spans="1:14">
      <c r="B29" s="54" t="s">
        <v>37</v>
      </c>
      <c r="C29" s="54"/>
      <c r="D29" s="54"/>
      <c r="E29" s="54"/>
      <c r="F29" s="54"/>
      <c r="G29" s="54"/>
      <c r="H29" s="54"/>
      <c r="I29" s="54"/>
      <c r="J29" s="54"/>
      <c r="K29" s="13">
        <f>K14</f>
        <v>292.5</v>
      </c>
      <c r="L29" s="7" t="s">
        <v>24</v>
      </c>
    </row>
    <row r="30" spans="1:14">
      <c r="B30" s="54" t="s">
        <v>38</v>
      </c>
      <c r="C30" s="54"/>
      <c r="D30" s="54"/>
      <c r="E30" s="54"/>
      <c r="F30" s="54"/>
      <c r="G30" s="54"/>
      <c r="H30" s="54"/>
      <c r="I30" s="54"/>
      <c r="J30" s="54"/>
      <c r="K30" s="13">
        <f>IF(J11&lt;1, 375, 375*J11)</f>
        <v>375</v>
      </c>
      <c r="L30" s="7" t="s">
        <v>24</v>
      </c>
    </row>
    <row r="31" spans="1:14">
      <c r="B31" s="53" t="s">
        <v>39</v>
      </c>
      <c r="C31" s="53"/>
      <c r="D31" s="53"/>
      <c r="E31" s="53"/>
      <c r="F31" s="53"/>
      <c r="G31" s="53"/>
      <c r="H31" s="53"/>
      <c r="I31" s="53"/>
      <c r="J31" s="53"/>
      <c r="K31" s="14">
        <f>K20+K21+K22+K25</f>
        <v>81.343668014601</v>
      </c>
      <c r="L31" s="10" t="s">
        <v>24</v>
      </c>
    </row>
    <row r="32" spans="1:14">
      <c r="B32" s="56" t="s">
        <v>40</v>
      </c>
      <c r="C32" s="56"/>
      <c r="D32" s="56"/>
      <c r="E32" s="56"/>
      <c r="F32" s="56"/>
      <c r="G32" s="56"/>
      <c r="H32" s="56"/>
      <c r="I32" s="56"/>
      <c r="J32" s="56"/>
      <c r="K32" s="13">
        <f>K29+K30+K31</f>
        <v>748.8436680146</v>
      </c>
      <c r="L32" s="7" t="s">
        <v>24</v>
      </c>
    </row>
    <row r="33" spans="1:14"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</row>
    <row r="34" spans="1:14">
      <c r="B34" s="64" t="s">
        <v>41</v>
      </c>
      <c r="C34" s="65"/>
      <c r="D34" s="65"/>
      <c r="E34" s="65"/>
      <c r="F34" s="65"/>
      <c r="G34" s="65"/>
      <c r="H34" s="65"/>
      <c r="I34" s="65"/>
      <c r="J34" s="65"/>
      <c r="K34" s="65"/>
      <c r="L34" s="66"/>
    </row>
    <row r="35" spans="1:14">
      <c r="B35" s="18" t="s">
        <v>42</v>
      </c>
      <c r="C35" s="61" t="s">
        <v>43</v>
      </c>
      <c r="D35" s="62"/>
      <c r="E35" s="63"/>
      <c r="F35" s="4" t="s">
        <v>44</v>
      </c>
      <c r="G35" s="61" t="s">
        <v>45</v>
      </c>
      <c r="H35" s="63"/>
      <c r="I35" s="3" t="s">
        <v>46</v>
      </c>
      <c r="J35" s="26" t="s">
        <v>35</v>
      </c>
      <c r="K35" s="52" t="s">
        <v>47</v>
      </c>
      <c r="L35" s="52"/>
    </row>
    <row r="36" spans="1:14">
      <c r="A36" s="1"/>
      <c r="B36" s="94">
        <v>1</v>
      </c>
      <c r="C36" s="95" t="s">
        <v>48</v>
      </c>
      <c r="D36" s="96"/>
      <c r="E36" s="97"/>
      <c r="F36" s="94">
        <f>'2'!C10</f>
        <v>1</v>
      </c>
      <c r="G36" s="98">
        <f>'2'!C8</f>
        <v>1262</v>
      </c>
      <c r="H36" s="99"/>
      <c r="I36" s="98">
        <f>'2'!C46</f>
        <v>2092.5774960492</v>
      </c>
      <c r="J36" s="98">
        <f>'2'!C44</f>
        <v>2092.5774960492</v>
      </c>
      <c r="K36" s="100">
        <f>'2'!C47</f>
        <v>7742.5367353822</v>
      </c>
      <c r="L36" s="52"/>
    </row>
    <row r="37" spans="1:14">
      <c r="A37" s="1"/>
      <c r="B37" s="94">
        <v>2</v>
      </c>
      <c r="C37" s="95" t="s">
        <v>49</v>
      </c>
      <c r="D37" s="96"/>
      <c r="E37" s="97"/>
      <c r="F37" s="94">
        <f>'2'!D10</f>
        <v>4</v>
      </c>
      <c r="G37" s="98">
        <f>'2'!D8</f>
        <v>48</v>
      </c>
      <c r="H37" s="99"/>
      <c r="I37" s="98">
        <f>'2'!D46</f>
        <v>79.590903177784</v>
      </c>
      <c r="J37" s="98">
        <f>'2'!D44</f>
        <v>318.36361271114</v>
      </c>
      <c r="K37" s="100">
        <f>'2'!D47</f>
        <v>294.4863417578</v>
      </c>
      <c r="L37" s="52"/>
    </row>
    <row r="38" spans="1:14">
      <c r="A38" s="1"/>
      <c r="B38" s="94">
        <v>3</v>
      </c>
      <c r="C38" s="95" t="s">
        <v>50</v>
      </c>
      <c r="D38" s="96"/>
      <c r="E38" s="97"/>
      <c r="F38" s="94">
        <f>'2'!E10</f>
        <v>15</v>
      </c>
      <c r="G38" s="98">
        <f>'2'!E8</f>
        <v>19.5</v>
      </c>
      <c r="H38" s="99"/>
      <c r="I38" s="98">
        <f>'2'!E46</f>
        <v>32.333804415975</v>
      </c>
      <c r="J38" s="98">
        <f>'2'!E44</f>
        <v>485.00706623962</v>
      </c>
      <c r="K38" s="101">
        <f>'2'!E47</f>
        <v>119.63507633911</v>
      </c>
      <c r="L38" s="78"/>
    </row>
    <row r="39" spans="1:14" customHeight="1" ht="15.6">
      <c r="A39"/>
      <c r="B39" s="12" t="s">
        <v>35</v>
      </c>
      <c r="C39" s="2"/>
      <c r="D39" s="2"/>
      <c r="E39" s="2"/>
      <c r="F39" s="12">
        <f>SUM(F36:F38)</f>
        <v>20</v>
      </c>
      <c r="G39" s="2"/>
      <c r="H39" s="2"/>
      <c r="I39"/>
      <c r="J39" s="102">
        <f>SUM(J36:J38)</f>
        <v>2895.948175</v>
      </c>
      <c r="K39" s="33"/>
      <c r="L39" s="103"/>
    </row>
    <row r="40" spans="1:14" customHeight="1" ht="15.6">
      <c r="B40" s="21"/>
      <c r="C40" s="2"/>
      <c r="D40" s="2"/>
      <c r="E40" s="2"/>
      <c r="F40" s="12"/>
      <c r="G40" s="2"/>
      <c r="H40" s="2"/>
      <c r="J40" s="30"/>
      <c r="K40" s="33"/>
      <c r="L40" s="34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5"/>
      <c r="L41" s="36"/>
    </row>
    <row r="42" spans="1:14" customHeight="1" ht="18">
      <c r="B42" s="29" t="s">
        <v>51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69" t="s">
        <v>52</v>
      </c>
      <c r="C43" s="69"/>
      <c r="D43" s="69"/>
      <c r="E43" s="69"/>
      <c r="F43" s="69"/>
      <c r="G43" s="69"/>
      <c r="H43" s="69"/>
      <c r="I43" s="69"/>
      <c r="J43" s="69"/>
      <c r="K43" s="69"/>
      <c r="L43" s="69"/>
    </row>
    <row r="44" spans="1:14" customHeight="1" ht="18">
      <c r="B44" s="69" t="s">
        <v>53</v>
      </c>
      <c r="C44" s="69"/>
      <c r="D44" s="69"/>
      <c r="E44" s="69"/>
      <c r="F44" s="69"/>
      <c r="G44" s="69"/>
      <c r="H44" s="69"/>
      <c r="I44" s="69"/>
      <c r="J44" s="69"/>
      <c r="K44" s="69"/>
      <c r="L44" s="69"/>
    </row>
    <row r="45" spans="1:14" customHeight="1" ht="18">
      <c r="B45" s="69" t="s">
        <v>54</v>
      </c>
      <c r="C45" s="69"/>
      <c r="D45" s="69"/>
      <c r="E45" s="69"/>
      <c r="F45" s="69"/>
      <c r="G45" s="69"/>
      <c r="H45" s="69"/>
      <c r="I45" s="69"/>
      <c r="J45" s="69"/>
      <c r="K45" s="69"/>
      <c r="L45" s="69"/>
    </row>
    <row r="46" spans="1:14" customHeight="1" ht="18">
      <c r="B46" s="69" t="s">
        <v>55</v>
      </c>
      <c r="C46" s="69"/>
      <c r="D46" s="69"/>
      <c r="E46" s="69"/>
      <c r="F46" s="69"/>
      <c r="G46" s="69"/>
      <c r="H46" s="69"/>
      <c r="I46" s="69"/>
      <c r="J46" s="69"/>
      <c r="K46" s="69"/>
      <c r="L46" s="69"/>
    </row>
    <row r="47" spans="1:14" customHeight="1" ht="18">
      <c r="B47" s="69" t="s">
        <v>56</v>
      </c>
      <c r="C47" s="69"/>
      <c r="D47" s="69"/>
      <c r="E47" s="69"/>
      <c r="F47" s="69"/>
      <c r="G47" s="69"/>
      <c r="H47" s="69"/>
      <c r="I47" s="69"/>
      <c r="J47" s="69"/>
      <c r="K47" s="69"/>
      <c r="L47" s="69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3"/>
      <c r="C49" s="43"/>
      <c r="E49" s="43"/>
      <c r="F49" s="43"/>
      <c r="G49" s="43"/>
      <c r="H49" s="43"/>
      <c r="I49" s="43"/>
      <c r="J49" s="43"/>
      <c r="K49" s="43"/>
      <c r="L49" s="43"/>
      <c r="M49" s="43"/>
    </row>
    <row r="50" spans="1:14" customHeight="1" ht="31.8">
      <c r="B50" s="43"/>
      <c r="C50" s="43"/>
      <c r="D50" s="42" t="s">
        <v>0</v>
      </c>
      <c r="E50" s="42"/>
      <c r="F50" s="42"/>
      <c r="G50" s="42"/>
      <c r="H50" s="42"/>
      <c r="I50" s="42"/>
      <c r="J50" s="42"/>
      <c r="K50" s="42"/>
      <c r="L50" s="42"/>
      <c r="M50" s="42"/>
    </row>
    <row r="51" spans="1:14" customHeight="1" ht="21">
      <c r="B51" s="43"/>
      <c r="C51" s="43"/>
      <c r="D51" s="58" t="s">
        <v>57</v>
      </c>
      <c r="E51" s="58"/>
      <c r="F51" s="58"/>
      <c r="G51" s="58"/>
      <c r="H51" s="58"/>
      <c r="I51" s="58"/>
    </row>
    <row r="52" spans="1:14">
      <c r="B52" s="43"/>
      <c r="C52" s="43"/>
    </row>
    <row r="53" spans="1:14">
      <c r="B53" s="43"/>
      <c r="C53" s="43"/>
    </row>
    <row r="54" spans="1:14" customHeight="1" ht="21">
      <c r="B54" s="75" t="s">
        <v>58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</row>
    <row r="56" spans="1:14">
      <c r="B56" s="76" t="s">
        <v>59</v>
      </c>
      <c r="C56" s="76"/>
      <c r="D56" s="76"/>
      <c r="E56" s="76"/>
      <c r="F56" s="76"/>
      <c r="G56" s="76"/>
      <c r="H56" s="76"/>
      <c r="I56" s="76"/>
      <c r="J56" s="76"/>
      <c r="K56" s="76"/>
      <c r="L56" s="76"/>
    </row>
    <row r="57" spans="1:14">
      <c r="B57" s="76" t="s">
        <v>60</v>
      </c>
      <c r="C57" s="76"/>
      <c r="D57" s="76"/>
      <c r="E57" s="76"/>
      <c r="F57" s="76"/>
      <c r="G57" s="76"/>
      <c r="H57" s="76"/>
      <c r="I57" s="76"/>
      <c r="J57" s="76"/>
      <c r="K57" s="76"/>
      <c r="L57" s="76"/>
    </row>
    <row r="58" spans="1:14">
      <c r="B58" s="54" t="s">
        <v>61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</row>
    <row r="59" spans="1:14">
      <c r="B59" s="76" t="s">
        <v>62</v>
      </c>
      <c r="C59" s="76"/>
      <c r="D59" s="76"/>
      <c r="E59" s="76"/>
      <c r="F59" s="76"/>
      <c r="G59" s="76"/>
      <c r="H59" s="76"/>
      <c r="I59" s="76"/>
      <c r="J59" s="76"/>
      <c r="K59" s="76"/>
      <c r="L59" s="76"/>
    </row>
    <row r="60" spans="1:14">
      <c r="B60" s="76" t="s">
        <v>63</v>
      </c>
      <c r="C60" s="76"/>
      <c r="D60" s="76"/>
      <c r="E60" s="76"/>
      <c r="F60" s="76"/>
      <c r="G60" s="76"/>
      <c r="H60" s="76"/>
      <c r="I60" s="76"/>
      <c r="J60" s="76"/>
      <c r="K60" s="76"/>
      <c r="L60" s="76"/>
    </row>
    <row r="61" spans="1:14">
      <c r="B61" s="54" t="s">
        <v>64</v>
      </c>
      <c r="C61" s="54"/>
      <c r="D61" s="54"/>
      <c r="E61" s="54"/>
      <c r="F61" s="54"/>
      <c r="G61" s="54"/>
      <c r="H61" s="54"/>
      <c r="I61" s="54"/>
      <c r="J61" s="54"/>
      <c r="K61" s="54"/>
      <c r="L61" s="54"/>
    </row>
    <row r="62" spans="1:14">
      <c r="B62" s="76" t="s">
        <v>65</v>
      </c>
      <c r="C62" s="76"/>
      <c r="D62" s="76"/>
      <c r="E62" s="76"/>
      <c r="F62" s="76"/>
      <c r="G62" s="76"/>
      <c r="H62" s="76"/>
      <c r="I62" s="76"/>
      <c r="J62" s="76"/>
      <c r="K62" s="76"/>
      <c r="L62" s="76"/>
    </row>
    <row r="63" spans="1:14">
      <c r="B63" s="76" t="s">
        <v>66</v>
      </c>
      <c r="C63" s="76"/>
      <c r="D63" s="76"/>
      <c r="E63" s="76"/>
      <c r="F63" s="76"/>
      <c r="G63" s="76"/>
      <c r="H63" s="76"/>
      <c r="I63" s="76"/>
      <c r="J63" s="76"/>
      <c r="K63" s="76"/>
      <c r="L63" s="76"/>
    </row>
    <row r="64" spans="1:14">
      <c r="B64" s="76" t="s">
        <v>67</v>
      </c>
      <c r="C64" s="76"/>
      <c r="D64" s="76"/>
      <c r="E64" s="76"/>
      <c r="F64" s="76"/>
      <c r="G64" s="76"/>
      <c r="H64" s="76"/>
      <c r="I64" s="76"/>
      <c r="J64" s="76"/>
      <c r="K64" s="76"/>
      <c r="L64" s="76"/>
    </row>
    <row r="65" spans="1:14">
      <c r="B65" s="76" t="s">
        <v>68</v>
      </c>
      <c r="C65" s="76"/>
      <c r="D65" s="76"/>
      <c r="E65" s="76"/>
      <c r="F65" s="76"/>
      <c r="G65" s="76"/>
      <c r="H65" s="76"/>
      <c r="I65" s="76"/>
      <c r="J65" s="76"/>
      <c r="K65" s="76"/>
      <c r="L65" s="76"/>
    </row>
    <row r="66" spans="1:14">
      <c r="B66" s="76" t="s">
        <v>69</v>
      </c>
      <c r="C66" s="76"/>
      <c r="D66" s="76"/>
      <c r="E66" s="76"/>
      <c r="F66" s="76"/>
      <c r="G66" s="76"/>
      <c r="H66" s="76"/>
      <c r="I66" s="76"/>
      <c r="J66" s="76"/>
      <c r="K66" s="76"/>
      <c r="L66" s="76"/>
    </row>
    <row r="67" spans="1:14">
      <c r="B67" s="76" t="s">
        <v>70</v>
      </c>
      <c r="C67" s="76"/>
      <c r="D67" s="76"/>
      <c r="E67" s="76"/>
      <c r="F67" s="76"/>
      <c r="G67" s="76"/>
      <c r="H67" s="76"/>
      <c r="I67" s="76"/>
      <c r="J67" s="76"/>
      <c r="K67" s="76"/>
      <c r="L67" s="76"/>
    </row>
    <row r="68" spans="1:14">
      <c r="B68" s="76" t="s">
        <v>71</v>
      </c>
      <c r="C68" s="76"/>
      <c r="D68" s="76"/>
      <c r="E68" s="76"/>
      <c r="F68" s="76"/>
      <c r="G68" s="76"/>
      <c r="H68" s="76"/>
      <c r="I68" s="76"/>
      <c r="J68" s="76"/>
      <c r="K68" s="76"/>
      <c r="L68" s="76"/>
    </row>
    <row r="69" spans="1:14">
      <c r="B69" s="76" t="s">
        <v>72</v>
      </c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4">
      <c r="B70" s="76" t="s">
        <v>73</v>
      </c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4">
      <c r="B71" s="76" t="s">
        <v>74</v>
      </c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4">
      <c r="B72" s="76" t="s">
        <v>75</v>
      </c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4">
      <c r="B73" s="72" t="s">
        <v>76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</row>
    <row r="74" spans="1:14">
      <c r="B74" s="76" t="s">
        <v>77</v>
      </c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4">
      <c r="B75" s="72" t="s">
        <v>78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</row>
    <row r="76" spans="1:14">
      <c r="B76" s="76" t="s">
        <v>79</v>
      </c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4">
      <c r="B77" s="76" t="s">
        <v>80</v>
      </c>
      <c r="C77" s="76"/>
      <c r="D77" s="76"/>
      <c r="E77" s="76"/>
      <c r="F77" s="76"/>
      <c r="G77" s="76"/>
      <c r="H77" s="76"/>
      <c r="I77" s="76"/>
      <c r="J77" s="76"/>
      <c r="K77" s="76"/>
      <c r="L77" s="76"/>
    </row>
    <row r="78" spans="1:14">
      <c r="B78" s="76" t="s">
        <v>81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</row>
    <row r="79" spans="1:14">
      <c r="B79" s="76" t="s">
        <v>82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</row>
    <row r="80" spans="1:14">
      <c r="B80" s="76" t="s">
        <v>83</v>
      </c>
      <c r="C80" s="76"/>
      <c r="D80" s="76"/>
      <c r="E80" s="76"/>
      <c r="F80" s="76"/>
      <c r="G80" s="76"/>
      <c r="H80" s="76"/>
      <c r="I80" s="76"/>
      <c r="J80" s="76"/>
      <c r="K80" s="76"/>
      <c r="L80" s="76"/>
    </row>
    <row r="81" spans="1:14">
      <c r="A81" s="37"/>
      <c r="B81" s="77" t="s">
        <v>84</v>
      </c>
      <c r="C81" s="77"/>
      <c r="D81" s="77"/>
      <c r="E81" s="77"/>
      <c r="F81" s="77"/>
      <c r="G81" s="77"/>
      <c r="H81" s="77"/>
      <c r="I81" s="77"/>
      <c r="J81" s="77"/>
      <c r="K81" s="77"/>
      <c r="L81" s="77"/>
    </row>
    <row r="82" spans="1:14">
      <c r="A82" s="37"/>
      <c r="B82" s="76" t="s">
        <v>85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</row>
    <row r="83" spans="1:14">
      <c r="A83" s="37"/>
      <c r="B83" s="77" t="s">
        <v>86</v>
      </c>
      <c r="C83" s="77"/>
      <c r="D83" s="77"/>
      <c r="E83" s="77"/>
      <c r="F83" s="77"/>
      <c r="G83" s="77"/>
      <c r="H83" s="77"/>
      <c r="I83" s="77"/>
      <c r="J83" s="77"/>
      <c r="K83" s="77"/>
      <c r="L83" s="77"/>
    </row>
    <row r="85" spans="1:14">
      <c r="C85" s="43"/>
      <c r="D85" s="43"/>
      <c r="E85" s="43"/>
      <c r="F85" s="43"/>
      <c r="G85" s="43"/>
      <c r="H85" s="43"/>
      <c r="I85" s="43"/>
    </row>
    <row r="86" spans="1:14">
      <c r="C86" s="43"/>
      <c r="D86" s="43"/>
      <c r="E86" s="43"/>
      <c r="F86" s="43"/>
      <c r="G86" s="43"/>
      <c r="H86" s="43"/>
      <c r="I86" s="43"/>
    </row>
    <row r="87" spans="1:14">
      <c r="C87" s="43"/>
      <c r="D87" s="43"/>
      <c r="E87" s="43"/>
      <c r="F87" s="43"/>
      <c r="G87" s="43"/>
      <c r="H87" s="43"/>
      <c r="I87" s="43"/>
    </row>
    <row r="88" spans="1:14">
      <c r="C88" s="43"/>
      <c r="D88" s="43"/>
      <c r="E88" s="43"/>
      <c r="F88" s="43"/>
      <c r="G88" s="43"/>
      <c r="H88" s="43"/>
      <c r="I88" s="43"/>
    </row>
    <row r="89" spans="1:14">
      <c r="C89" s="43"/>
      <c r="D89" s="43"/>
      <c r="E89" s="43"/>
      <c r="F89" s="43"/>
      <c r="G89" s="43"/>
      <c r="H89" s="43"/>
      <c r="I89" s="43"/>
    </row>
    <row r="90" spans="1:14">
      <c r="C90" s="43"/>
      <c r="D90" s="43"/>
      <c r="E90" s="43"/>
      <c r="F90" s="43"/>
      <c r="G90" s="43"/>
      <c r="H90" s="43"/>
      <c r="I90" s="43"/>
    </row>
    <row r="91" spans="1:14">
      <c r="C91" s="43"/>
      <c r="D91" s="43"/>
      <c r="E91" s="43"/>
      <c r="F91" s="43"/>
      <c r="G91" s="43"/>
      <c r="H91" s="43"/>
      <c r="I91" s="43"/>
    </row>
    <row r="92" spans="1:14" customHeight="1" ht="15.6">
      <c r="C92" s="43"/>
      <c r="D92" s="43"/>
      <c r="E92" s="43"/>
      <c r="F92" s="43"/>
      <c r="G92" s="43"/>
      <c r="H92" s="43"/>
      <c r="I92" s="43"/>
    </row>
    <row r="93" spans="1:14" customHeight="1" ht="15.6">
      <c r="C93" s="43"/>
      <c r="D93" s="43"/>
      <c r="E93" s="43"/>
      <c r="F93" s="43"/>
      <c r="G93" s="43"/>
      <c r="H93" s="43"/>
      <c r="I93" s="43"/>
    </row>
    <row r="94" spans="1:14">
      <c r="C94" s="43"/>
      <c r="D94" s="43"/>
      <c r="E94" s="43"/>
      <c r="F94" s="43"/>
      <c r="G94" s="43"/>
      <c r="H94" s="43"/>
      <c r="I94" s="43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B39:E3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7"/>
  <sheetViews>
    <sheetView tabSelected="0" workbookViewId="0" showGridLines="true" showRowColHeaders="1">
      <selection activeCell="F44" sqref="F44"/>
    </sheetView>
  </sheetViews>
  <sheetFormatPr defaultRowHeight="14.4" outlineLevelRow="0" outlineLevelCol="0"/>
  <cols>
    <col min="2" max="2" width="24.708" bestFit="true" customWidth="true" style="0"/>
    <col min="3" max="3" width="35.277" bestFit="true" customWidth="true" style="0"/>
    <col min="4" max="4" width="49.417" bestFit="true" customWidth="true" style="0"/>
    <col min="5" max="5" width="30.564" bestFit="true" customWidth="true" style="0"/>
    <col min="6" max="6" width="11.711" bestFit="true" customWidth="true" style="0"/>
  </cols>
  <sheetData>
    <row r="3" spans="1:10">
      <c r="B3" s="80" t="s">
        <v>88</v>
      </c>
      <c r="C3"/>
      <c r="D3"/>
      <c r="E3"/>
      <c r="F3"/>
      <c r="G3"/>
    </row>
    <row r="5" spans="1:10">
      <c r="B5" s="82" t="s">
        <v>89</v>
      </c>
      <c r="C5" s="81" t="s">
        <v>48</v>
      </c>
      <c r="D5" s="81" t="s">
        <v>49</v>
      </c>
      <c r="E5" s="81" t="s">
        <v>50</v>
      </c>
      <c r="F5" s="81" t="s">
        <v>106</v>
      </c>
    </row>
    <row r="6" spans="1:10">
      <c r="B6" t="s">
        <v>90</v>
      </c>
      <c r="C6">
        <v>0</v>
      </c>
      <c r="D6">
        <v>0</v>
      </c>
      <c r="E6">
        <v>0</v>
      </c>
      <c r="F6" s="86">
        <v>328</v>
      </c>
      <c r="I6" s="85" t="s">
        <v>104</v>
      </c>
      <c r="J6" s="85" t="s">
        <v>105</v>
      </c>
    </row>
    <row r="7" spans="1:10">
      <c r="B7" t="s">
        <v>91</v>
      </c>
      <c r="C7">
        <v>0</v>
      </c>
      <c r="D7">
        <v>0</v>
      </c>
      <c r="E7">
        <v>0</v>
      </c>
      <c r="F7" s="87">
        <v>1.77</v>
      </c>
      <c r="I7" s="85" t="s">
        <v>18</v>
      </c>
      <c r="J7" s="85">
        <v>375</v>
      </c>
    </row>
    <row r="8" spans="1:10">
      <c r="B8" t="s">
        <v>92</v>
      </c>
      <c r="C8" s="84">
        <v>1262</v>
      </c>
      <c r="D8" s="84">
        <v>48</v>
      </c>
      <c r="E8" s="84">
        <v>19.5</v>
      </c>
      <c r="F8"/>
    </row>
    <row r="9" spans="1:10">
      <c r="B9" s="83" t="s">
        <v>93</v>
      </c>
      <c r="C9" s="84">
        <v>0</v>
      </c>
      <c r="D9" s="84">
        <v>0</v>
      </c>
      <c r="E9" s="84">
        <v>0</v>
      </c>
      <c r="F9"/>
    </row>
    <row r="10" spans="1:10">
      <c r="B10" t="s">
        <v>94</v>
      </c>
      <c r="C10">
        <v>1</v>
      </c>
      <c r="D10">
        <v>4</v>
      </c>
      <c r="E10">
        <v>15</v>
      </c>
      <c r="F10">
        <f>SUM(C10:E10)</f>
        <v>20</v>
      </c>
    </row>
    <row r="11" spans="1:10">
      <c r="B11" t="s">
        <v>95</v>
      </c>
      <c r="C11" s="84">
        <f>C8*C10</f>
        <v>1262</v>
      </c>
      <c r="D11" s="84">
        <f>D8*D10</f>
        <v>192</v>
      </c>
      <c r="E11" s="84">
        <f>E8*E10</f>
        <v>292.5</v>
      </c>
      <c r="F11">
        <f>SUM(C11:E11)</f>
        <v>1746.5</v>
      </c>
    </row>
    <row r="12" spans="1:10">
      <c r="B12" s="83" t="s">
        <v>96</v>
      </c>
      <c r="C12" s="84">
        <f>C10*C9</f>
        <v>0</v>
      </c>
      <c r="D12" s="84">
        <f>D10*D9</f>
        <v>0</v>
      </c>
      <c r="E12" s="84">
        <f>E10*E9</f>
        <v>0</v>
      </c>
      <c r="F12"/>
    </row>
    <row r="13" spans="1:10">
      <c r="B13" t="s">
        <v>97</v>
      </c>
      <c r="C13" s="88">
        <f>C11/F11</f>
        <v>0.72258803320928</v>
      </c>
      <c r="D13" s="88">
        <f>D11/F11</f>
        <v>0.10993415402233</v>
      </c>
      <c r="E13" s="88">
        <f>E11/F11</f>
        <v>0.16747781276839</v>
      </c>
      <c r="F13"/>
    </row>
    <row r="14" spans="1:10">
      <c r="B14" t="s">
        <v>98</v>
      </c>
      <c r="C14" s="84">
        <f>F14*C13</f>
        <v>287.77068422559</v>
      </c>
      <c r="D14" s="84">
        <f>F14*D13</f>
        <v>43.781276839393</v>
      </c>
      <c r="E14" s="84">
        <f>F14*E13</f>
        <v>66.698038935013</v>
      </c>
      <c r="F14">
        <f>IF(F7&lt;1, J7*0.6, J7*0.6*F7)</f>
        <v>398.25</v>
      </c>
    </row>
    <row r="15" spans="1:10">
      <c r="B15" t="s">
        <v>99</v>
      </c>
      <c r="C15" s="84">
        <f>C11+C14</f>
        <v>1549.7706842256</v>
      </c>
      <c r="D15" s="84">
        <f>D11+D14</f>
        <v>235.78127683939</v>
      </c>
      <c r="E15" s="84">
        <f>E11+E14</f>
        <v>359.19803893501</v>
      </c>
      <c r="F15"/>
    </row>
    <row r="16" spans="1:10">
      <c r="B16" s="83" t="s">
        <v>100</v>
      </c>
      <c r="C16" s="84">
        <f>C12+C14</f>
        <v>287.77068422559</v>
      </c>
      <c r="D16" s="84">
        <f>D12+D14</f>
        <v>43.781276839393</v>
      </c>
      <c r="E16" s="84">
        <f>E12+E14</f>
        <v>66.698038935013</v>
      </c>
      <c r="F16"/>
    </row>
    <row r="17" spans="1:10">
      <c r="B17" t="s">
        <v>101</v>
      </c>
      <c r="C17" s="84">
        <f>IF(F11&gt;5000,100*C13,50*C13)</f>
        <v>36.129401660464</v>
      </c>
      <c r="D17" s="84">
        <f>IF(F11&gt;5000,100*D13,50*D13)</f>
        <v>5.4967077011165</v>
      </c>
      <c r="E17" s="84">
        <f>IF(F11&gt;5000,100*E13,50*E13)</f>
        <v>8.3738906384197</v>
      </c>
      <c r="F17"/>
    </row>
    <row r="18" spans="1:10">
      <c r="B18" t="s">
        <v>102</v>
      </c>
      <c r="C18" s="84">
        <f>C15+C17</f>
        <v>1585.9000858861</v>
      </c>
      <c r="D18" s="84">
        <f>D15+D17</f>
        <v>241.27798454051</v>
      </c>
      <c r="E18" s="84">
        <f>E15+E17</f>
        <v>367.57192957343</v>
      </c>
      <c r="F18"/>
    </row>
    <row r="19" spans="1:10">
      <c r="B19" s="83" t="s">
        <v>103</v>
      </c>
      <c r="C19" s="84">
        <f>C16+C17</f>
        <v>323.90008588606</v>
      </c>
      <c r="D19" s="84">
        <f>D16+D17</f>
        <v>49.27798454051</v>
      </c>
      <c r="E19" s="84">
        <f>E16+E17</f>
        <v>75.071929573433</v>
      </c>
      <c r="F19"/>
    </row>
    <row r="23" spans="1:10">
      <c r="B23" s="80" t="s">
        <v>113</v>
      </c>
      <c r="C23"/>
      <c r="D23"/>
      <c r="E23"/>
    </row>
    <row r="26" spans="1:10">
      <c r="B26" t="s">
        <v>114</v>
      </c>
      <c r="C26" s="84">
        <v>0</v>
      </c>
      <c r="D26" s="84">
        <v>0</v>
      </c>
      <c r="E26" s="84">
        <v>0</v>
      </c>
      <c r="F26" s="84">
        <f>SUM(C26:E26)</f>
        <v>0</v>
      </c>
    </row>
    <row r="27" spans="1:10">
      <c r="C27" s="89">
        <v>0.0</v>
      </c>
      <c r="D27" s="89">
        <v>0.0</v>
      </c>
      <c r="E27" s="89">
        <v>0.0</v>
      </c>
      <c r="F27" s="88">
        <f>SUM(C27:E27)</f>
        <v>0</v>
      </c>
    </row>
    <row r="28" spans="1:10">
      <c r="B28" t="s">
        <v>107</v>
      </c>
      <c r="C28" s="84">
        <f>MAX(C19,C18)*C27</f>
        <v>0</v>
      </c>
      <c r="D28" s="84">
        <f>MAX(D19,D18)*D27</f>
        <v>0</v>
      </c>
      <c r="E28" s="84">
        <f>MAX(E19,E18)*E27</f>
        <v>0</v>
      </c>
      <c r="F28" s="84">
        <f>SUM(C28:E28)</f>
        <v>0</v>
      </c>
    </row>
    <row r="29" spans="1:10">
      <c r="B29" t="s">
        <v>30</v>
      </c>
      <c r="C29" s="84">
        <f>0.16*(MAX(C19,C18)+C28)</f>
        <v>253.74401374177</v>
      </c>
      <c r="D29" s="84">
        <f>0.16*(MAX(D19,D18)+D28)</f>
        <v>38.604477526482</v>
      </c>
      <c r="E29" s="84">
        <f>0.16*(MAX(E19,E18)+E28)</f>
        <v>58.811508731749</v>
      </c>
      <c r="F29" s="84">
        <f>SUM(C29:E29)</f>
        <v>351.16</v>
      </c>
    </row>
    <row r="30" spans="1:10">
      <c r="B30" t="s">
        <v>31</v>
      </c>
      <c r="C30" s="84">
        <f>0.02*(MAX(C19,C18)+C28)</f>
        <v>31.718001717721</v>
      </c>
      <c r="D30" s="84">
        <f>0.02*(MAX(D19,D18)+D28)</f>
        <v>4.8255596908102</v>
      </c>
      <c r="E30" s="84">
        <f>0.02*(MAX(E19,E18)+E28)</f>
        <v>7.3514385914687</v>
      </c>
      <c r="F30" s="84">
        <f>SUM(C30:E30)</f>
        <v>43.895</v>
      </c>
    </row>
    <row r="31" spans="1:10">
      <c r="B31" t="s">
        <v>108</v>
      </c>
      <c r="C31" s="84">
        <f>0.035*(MAX(C18,C19) +C28+C29+C30)</f>
        <v>65.497673547094</v>
      </c>
      <c r="D31" s="84">
        <f>0.035*(MAX(D18,D19) +D28+D29+D30)</f>
        <v>9.964780761523</v>
      </c>
      <c r="E31" s="84">
        <f>0.035*(MAX(E18,E19) +E28+E29+E30)</f>
        <v>15.180720691383</v>
      </c>
      <c r="F31" s="84">
        <f>SUM(C31:E31)</f>
        <v>90.643175</v>
      </c>
    </row>
    <row r="32" spans="1:10">
      <c r="B32" t="s">
        <v>35</v>
      </c>
      <c r="C32" s="84">
        <f>SUM(C28:C31)</f>
        <v>350.95968900658</v>
      </c>
      <c r="D32" s="84">
        <f>SUM(D28:D31)</f>
        <v>53.394817978815</v>
      </c>
      <c r="E32" s="84">
        <f>SUM(E28:E31)</f>
        <v>81.343668014601</v>
      </c>
      <c r="F32" s="84">
        <f>SUM(F28:F31)</f>
        <v>485.698175</v>
      </c>
    </row>
    <row r="37" spans="1:10">
      <c r="B37" s="80" t="s">
        <v>115</v>
      </c>
      <c r="C37"/>
      <c r="D37"/>
      <c r="E37"/>
    </row>
    <row r="40" spans="1:10">
      <c r="B40" t="s">
        <v>109</v>
      </c>
      <c r="C40" s="84">
        <f>C13*F40</f>
        <v>191.84712281706</v>
      </c>
      <c r="D40" s="84">
        <f>D13*F40</f>
        <v>29.187517892929</v>
      </c>
      <c r="E40" s="84">
        <f>E13*F40</f>
        <v>44.465359290009</v>
      </c>
      <c r="F40">
        <f>IF(F7&lt;1, J7*0.4,J7*0.4*F7)</f>
        <v>265.5</v>
      </c>
    </row>
    <row r="41" spans="1:10">
      <c r="B41"/>
    </row>
    <row r="43" spans="1:10">
      <c r="B43" t="s">
        <v>109</v>
      </c>
      <c r="C43" t="s">
        <v>48</v>
      </c>
      <c r="D43" t="s">
        <v>49</v>
      </c>
      <c r="E43" t="s">
        <v>50</v>
      </c>
      <c r="F43" t="s">
        <v>106</v>
      </c>
    </row>
    <row r="44" spans="1:10">
      <c r="B44" t="s">
        <v>110</v>
      </c>
      <c r="C44" s="84">
        <f>SUM(C15,C40,C32,(C26))</f>
        <v>2092.5774960492</v>
      </c>
      <c r="D44" s="84">
        <f>SUM(D15,D40,D32,(D26))</f>
        <v>318.36361271114</v>
      </c>
      <c r="E44" s="84">
        <f>SUM(E15,E40,E32,(E26))</f>
        <v>485.00706623962</v>
      </c>
      <c r="F44" s="84">
        <f>SUM(C44:E44)</f>
        <v>2895.948175</v>
      </c>
    </row>
    <row r="45" spans="1:10">
      <c r="B45" t="s">
        <v>44</v>
      </c>
      <c r="C45">
        <v>1</v>
      </c>
      <c r="D45">
        <v>4</v>
      </c>
      <c r="E45">
        <v>15</v>
      </c>
      <c r="F45"/>
    </row>
    <row r="46" spans="1:10">
      <c r="B46" t="s">
        <v>111</v>
      </c>
      <c r="C46" s="84">
        <f>SUM(C44/C45)</f>
        <v>2092.5774960492</v>
      </c>
      <c r="D46" s="84">
        <f>SUM(D44/D45)</f>
        <v>79.590903177784</v>
      </c>
      <c r="E46" s="84">
        <f>SUM(E44/E45)</f>
        <v>32.333804415975</v>
      </c>
      <c r="F46"/>
    </row>
    <row r="47" spans="1:10">
      <c r="B47" t="s">
        <v>112</v>
      </c>
      <c r="C47" s="90">
        <f>C46*3.7</f>
        <v>7742.5367353822</v>
      </c>
      <c r="D47" s="90">
        <f>D46*3.7</f>
        <v>294.4863417578</v>
      </c>
      <c r="E47" s="90">
        <f>E46*3.7</f>
        <v>119.63507633911</v>
      </c>
      <c r="F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