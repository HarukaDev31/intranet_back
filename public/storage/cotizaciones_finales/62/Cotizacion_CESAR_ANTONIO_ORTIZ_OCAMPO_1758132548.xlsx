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<sst xmlns="http://schemas.openxmlformats.org/spreadsheetml/2006/main" uniqueCount="126">
  <si>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PRO MUNDO COMEX S.A.C.</t>
  </si>
  <si>
    <t xml:space="preserve">         RUC: 20612452432</t>
  </si>
  <si>
    <t>COTIZACION N002</t>
  </si>
  <si>
    <t>NOMBRE:</t>
  </si>
  <si>
    <t>CESAR ANTONIO ORTIZ OCAMPO</t>
  </si>
  <si>
    <t>SERVICIO:</t>
  </si>
  <si>
    <t>CARGA CONSOLIDADA</t>
  </si>
  <si>
    <t>N° CAJAS:</t>
  </si>
  <si>
    <t>APELLIDO:</t>
  </si>
  <si>
    <t>FECHA:</t>
  </si>
  <si>
    <t>PESO:</t>
  </si>
  <si>
    <t>1.227 Tn</t>
  </si>
  <si>
    <t>DNI/RUC:</t>
  </si>
  <si>
    <t>ORIGEN:</t>
  </si>
  <si>
    <t>CHINA</t>
  </si>
  <si>
    <t>MEDIDA:</t>
  </si>
  <si>
    <t>TELEFONO:</t>
  </si>
  <si>
    <t>51 997 412 500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</si>
  <si>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</si>
  <si>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</si>
  <si>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</si>
  <si>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</si>
  <si>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</si>
  <si>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</si>
  <si>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</si>
  <si>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</si>
  <si>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</si>
  <si>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</si>
  <si>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</si>
  <si>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</si>
  <si>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</si>
  <si>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</si>
  <si>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</si>
  <si>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</si>
  <si>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</si>
  <si>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</si>
  <si>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</si>
  <si>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</si>
  <si>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</si>
  <si>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</si>
  <si>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</si>
  <si>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</si>
  <si>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</si>
  <si>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</si>
  <si>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</si>
  <si>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</si>
  <si>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</si>
  <si>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</si>
  <si>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</si>
  <si>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</si>
  <si>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</si>
  <si>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</si>
  <si>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</si>
  <si>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</si>
  <si>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</si>
  <si>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</si>
  <si>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</si>
  <si>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</si>
  <si>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</si>
  <si>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</si>
  <si>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</si>
  <si>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</si>
  <si>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</si>
  <si>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</si>
  <si>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</si>
  <si>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</si>
  <si>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</si>
  <si>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</si>
  <si>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</si>
  <si>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</si>
  <si>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</si>
  <si>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</si>
  <si>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</si>
  <si>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</si>
  <si>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</si>
  <si>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</si>
  <si>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</si>
  <si>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</si>
  <si>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</si>
  <si>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</si>
  <si>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</si>
  <si>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</si>
  <si>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</si>
  <si>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</si>
  <si>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</si>
  <si>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CESAR ANTONIO ORTIZ OCAMPO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</si>
  <si>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</si>
  <si>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</si>
  <si>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</si>
  <si>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</si>
  <si>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</si>
  <si>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</si>
  <si>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</si>
  <si>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</si>
  <si>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</si>
  <si>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</si>
  <si>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</si>
  <si>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</si>
  <si>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</si>
  <si>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</si>
  <si>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</si>
  <si>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</si>
  <si>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MUÑEQUERAS PARA LEVANTAMIENTO DE PESAS</t>
  </si>
  <si>
    <t>ZAPATILLAS PARA BOXEO</t>
  </si>
  <si>
    <t>ZAPATILLAS PARA HALTEROFILIA</t>
  </si>
  <si>
    <t>CINTURON PARA LEVANTAMIENTO DE PESO</t>
  </si>
  <si>
    <t>MALETIN PARA GIMNASIO</t>
  </si>
  <si>
    <t>MOCHILA PARA GIMNASIO</t>
  </si>
  <si>
    <t>ZAPATILLA PARA GIMNASIO</t>
  </si>
  <si>
    <t>RODILLERAS PARA HALTEROFILIA</t>
  </si>
  <si>
    <t>BARRA OLÍMPICA PARA GIMNASIO</t>
  </si>
  <si>
    <t>KIT DE DISCOS PARA PESAS</t>
  </si>
  <si>
    <t>RACK PARA ALZAR PESAS JK-01</t>
  </si>
  <si>
    <t>MÁQUINA DE GIMNASIO PARA SENTADILLAS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</si>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</sst>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41842422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2.65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'2'!N11</f>
        <v>180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'2'!N14 + '2'!N17</f>
        <v>32.237773593571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212.23777359357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15.75</v>
      </c>
      <c r="K20" s="13">
        <f>'2'!N28</f>
        <v>0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'2'!N29</f>
        <v>33.958043774971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'2'!N30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'2'!N31</f>
        <v/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0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180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'2'!N14, '2'!N14*J11)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0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180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</v>
      </c>
      <c r="G36" s="66">
        <f>+'2'!$C$10</f>
        <v>2</v>
      </c>
      <c r="H36" s="67"/>
      <c r="I36" s="27">
        <f>+'2'!$C$46</f>
        <v>5.0897247069616</v>
      </c>
      <c r="J36" s="27">
        <f>+F36*I36</f>
        <v>10.179449413923</v>
      </c>
      <c r="K36" s="54">
        <f>I36*3.7</f>
        <v>18.831981415758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25</v>
      </c>
      <c r="G37" s="66">
        <f>+'2'!$D$10</f>
        <v>25</v>
      </c>
      <c r="H37" s="67"/>
      <c r="I37" s="27">
        <f>+'2'!$D$46</f>
        <v>34.629361042504</v>
      </c>
      <c r="J37" s="27">
        <f>+F37*I37</f>
        <v>865.73402606259</v>
      </c>
      <c r="K37" s="54">
        <f>I37*3.7</f>
        <v>128.12863585726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16</v>
      </c>
      <c r="G38" s="66">
        <f>+'2'!$E$10</f>
        <v>16</v>
      </c>
      <c r="H38" s="67"/>
      <c r="I38" s="27">
        <f>+'2'!$E$46</f>
        <v>29.259701476659</v>
      </c>
      <c r="J38" s="27">
        <f>+F38*I38</f>
        <v>468.15522362655</v>
      </c>
      <c r="K38" s="82">
        <f>I38*3.7</f>
        <v>108.26089546364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43</v>
      </c>
      <c r="G39" s="2"/>
      <c r="H39" s="2"/>
      <c r="J39" s="28">
        <f>+SUM(J36:J38)</f>
        <v>1344.0686991031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7"/>
  <sheetViews>
    <sheetView tabSelected="1" workbookViewId="0" showGridLines="true" showRowColHeaders="1">
      <selection activeCell="O44" sqref="O44"/>
    </sheetView>
  </sheetViews>
  <sheetFormatPr defaultRowHeight="14.4" outlineLevelRow="0" outlineLevelCol="0"/>
  <cols>
    <col min="2" max="2" width="24.708" bestFit="true" customWidth="true" style="0"/>
    <col min="3" max="3" width="45.846" bestFit="true" customWidth="true" style="0"/>
    <col min="4" max="4" width="25.851" bestFit="true" customWidth="true" style="0"/>
    <col min="5" max="5" width="34.135" bestFit="true" customWidth="true" style="0"/>
    <col min="6" max="6" width="42.418" bestFit="true" customWidth="true" style="0"/>
    <col min="7" max="7" width="25.851" bestFit="true" customWidth="true" style="0"/>
    <col min="8" max="8" width="25.851" bestFit="true" customWidth="true" style="0"/>
    <col min="9" max="9" width="28.136" bestFit="true" customWidth="true" style="0"/>
    <col min="10" max="10" width="34.135" bestFit="true" customWidth="true" style="0"/>
    <col min="11" max="11" width="34.135" bestFit="true" customWidth="true" style="0"/>
    <col min="12" max="12" width="29.421" bestFit="true" customWidth="true" style="0"/>
    <col min="13" max="13" width="32.992" bestFit="true" customWidth="true" style="0"/>
    <col min="14" max="14" width="43.561" bestFit="true" customWidth="true" style="0"/>
    <col min="15" max="15" width="11.711" bestFit="true" customWidth="true" style="0"/>
  </cols>
  <sheetData>
    <row r="3" spans="1:19">
      <c r="B3" s="85" t="s">
        <v>86</v>
      </c>
      <c r="C3"/>
      <c r="D3"/>
      <c r="E3"/>
      <c r="F3"/>
      <c r="G3"/>
    </row>
    <row r="5" spans="1:19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109</v>
      </c>
      <c r="K5" s="86" t="s">
        <v>110</v>
      </c>
      <c r="L5" s="86" t="s">
        <v>111</v>
      </c>
      <c r="M5" s="86" t="s">
        <v>112</v>
      </c>
      <c r="N5" s="86" t="s">
        <v>113</v>
      </c>
      <c r="O5" s="86" t="s">
        <v>116</v>
      </c>
    </row>
    <row r="6" spans="1:19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91">
        <v>1.23</v>
      </c>
      <c r="R6" s="90" t="s">
        <v>114</v>
      </c>
      <c r="S6" s="90" t="s">
        <v>115</v>
      </c>
    </row>
    <row r="7" spans="1:19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92">
        <v>3.16</v>
      </c>
      <c r="R7" s="90" t="s">
        <v>19</v>
      </c>
      <c r="S7" s="90">
        <v>343.87</v>
      </c>
    </row>
    <row r="8" spans="1:19">
      <c r="B8" t="s">
        <v>90</v>
      </c>
      <c r="C8" s="89">
        <v>3</v>
      </c>
      <c r="D8" s="89">
        <v>20.04</v>
      </c>
      <c r="E8" s="89">
        <v>16.875</v>
      </c>
      <c r="F8" s="89">
        <v>30</v>
      </c>
      <c r="G8" s="89">
        <v>5</v>
      </c>
      <c r="H8" s="89">
        <v>30</v>
      </c>
      <c r="I8" s="89">
        <v>8.4658385093168</v>
      </c>
      <c r="J8" s="89">
        <v>9</v>
      </c>
      <c r="K8" s="89">
        <v>50</v>
      </c>
      <c r="L8" s="89">
        <v>17.015625</v>
      </c>
      <c r="M8" s="89">
        <v>300</v>
      </c>
      <c r="N8" s="89">
        <v>180</v>
      </c>
      <c r="O8"/>
    </row>
    <row r="9" spans="1:19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/>
    </row>
    <row r="10" spans="1:19">
      <c r="B10" t="s">
        <v>92</v>
      </c>
      <c r="C10">
        <v>2</v>
      </c>
      <c r="D10">
        <v>25</v>
      </c>
      <c r="E10">
        <v>16</v>
      </c>
      <c r="F10">
        <v>2</v>
      </c>
      <c r="G10">
        <v>20</v>
      </c>
      <c r="H10">
        <v>2</v>
      </c>
      <c r="I10">
        <v>161</v>
      </c>
      <c r="J10">
        <v>15</v>
      </c>
      <c r="K10">
        <v>8</v>
      </c>
      <c r="L10">
        <v>32</v>
      </c>
      <c r="M10">
        <v>1</v>
      </c>
      <c r="N10">
        <v>1</v>
      </c>
      <c r="O10">
        <f>SUM(C10:N10)</f>
        <v>285</v>
      </c>
    </row>
    <row r="11" spans="1:19">
      <c r="B11" t="s">
        <v>93</v>
      </c>
      <c r="C11" s="89">
        <f>C8*C10</f>
        <v>6</v>
      </c>
      <c r="D11" s="89">
        <f>D8*D10</f>
        <v>501</v>
      </c>
      <c r="E11" s="89">
        <f>E8*E10</f>
        <v>270</v>
      </c>
      <c r="F11" s="89">
        <f>F8*F10</f>
        <v>60</v>
      </c>
      <c r="G11" s="89">
        <f>G8*G10</f>
        <v>100</v>
      </c>
      <c r="H11" s="89">
        <f>H8*H10</f>
        <v>60</v>
      </c>
      <c r="I11" s="89">
        <f>I8*I10</f>
        <v>1363</v>
      </c>
      <c r="J11" s="89">
        <f>J8*J10</f>
        <v>135</v>
      </c>
      <c r="K11" s="89">
        <f>K8*K10</f>
        <v>400</v>
      </c>
      <c r="L11" s="89">
        <f>L8*L10</f>
        <v>544.5</v>
      </c>
      <c r="M11" s="89">
        <f>M8*M10</f>
        <v>300</v>
      </c>
      <c r="N11" s="89">
        <f>N8*N10</f>
        <v>180</v>
      </c>
      <c r="O11">
        <f>SUM(C11:N11)</f>
        <v>3919.5</v>
      </c>
    </row>
    <row r="12" spans="1:19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 s="89">
        <f>J10*J9</f>
        <v>0</v>
      </c>
      <c r="K12" s="89">
        <f>K10*K9</f>
        <v>0</v>
      </c>
      <c r="L12" s="89">
        <f>L10*L9</f>
        <v>0</v>
      </c>
      <c r="M12" s="89">
        <f>M10*M9</f>
        <v>0</v>
      </c>
      <c r="N12" s="89">
        <f>N10*N9</f>
        <v>0</v>
      </c>
      <c r="O12"/>
    </row>
    <row r="13" spans="1:19">
      <c r="B13" t="s">
        <v>95</v>
      </c>
      <c r="C13" s="93">
        <f>C11/O11</f>
        <v>0.0015308075009568</v>
      </c>
      <c r="D13" s="93">
        <f>D11/O11</f>
        <v>0.12782242632989</v>
      </c>
      <c r="E13" s="93">
        <f>E11/O11</f>
        <v>0.068886337543054</v>
      </c>
      <c r="F13" s="93">
        <f>F11/O11</f>
        <v>0.015308075009568</v>
      </c>
      <c r="G13" s="93">
        <f>G11/O11</f>
        <v>0.025513458349279</v>
      </c>
      <c r="H13" s="93">
        <f>H11/O11</f>
        <v>0.015308075009568</v>
      </c>
      <c r="I13" s="93">
        <f>I11/O11</f>
        <v>0.34774843730068</v>
      </c>
      <c r="J13" s="93">
        <f>J11/O11</f>
        <v>0.034443168771527</v>
      </c>
      <c r="K13" s="93">
        <f>K11/O11</f>
        <v>0.10205383339712</v>
      </c>
      <c r="L13" s="93">
        <f>L11/O11</f>
        <v>0.13892078071183</v>
      </c>
      <c r="M13" s="93">
        <f>M11/O11</f>
        <v>0.076540375047838</v>
      </c>
      <c r="N13" s="93">
        <f>N11/O11</f>
        <v>0.045924225028703</v>
      </c>
      <c r="O13"/>
    </row>
    <row r="14" spans="1:19">
      <c r="B14" t="s">
        <v>96</v>
      </c>
      <c r="C14" s="89">
        <f>O14*C13</f>
        <v>0.99805207807118</v>
      </c>
      <c r="D14" s="89">
        <f>O14*D13</f>
        <v>83.337348518944</v>
      </c>
      <c r="E14" s="89">
        <f>O14*E13</f>
        <v>44.912343513203</v>
      </c>
      <c r="F14" s="89">
        <f>O14*F13</f>
        <v>9.9805207807118</v>
      </c>
      <c r="G14" s="89">
        <f>O14*G13</f>
        <v>16.634201301186</v>
      </c>
      <c r="H14" s="89">
        <f>O14*H13</f>
        <v>9.9805207807118</v>
      </c>
      <c r="I14" s="89">
        <f>O14*I13</f>
        <v>226.72416373517</v>
      </c>
      <c r="J14" s="89">
        <f>O14*J13</f>
        <v>22.456171756602</v>
      </c>
      <c r="K14" s="89">
        <f>O14*K13</f>
        <v>66.536805204745</v>
      </c>
      <c r="L14" s="89">
        <f>O14*L13</f>
        <v>90.57322608496</v>
      </c>
      <c r="M14" s="89">
        <f>O14*M13</f>
        <v>49.902603903559</v>
      </c>
      <c r="N14" s="89">
        <f>O14*N13</f>
        <v>29.941562342135</v>
      </c>
      <c r="O14">
        <f>IF(O7&lt;1, S7*0.6, S7*0.6*O7)</f>
        <v>651.97752</v>
      </c>
    </row>
    <row r="15" spans="1:19">
      <c r="B15" t="s">
        <v>97</v>
      </c>
      <c r="C15" s="89">
        <f>C11+C14</f>
        <v>6.9980520780712</v>
      </c>
      <c r="D15" s="89">
        <f>D11+D14</f>
        <v>584.33734851894</v>
      </c>
      <c r="E15" s="89">
        <f>E11+E14</f>
        <v>314.9123435132</v>
      </c>
      <c r="F15" s="89">
        <f>F11+F14</f>
        <v>69.980520780712</v>
      </c>
      <c r="G15" s="89">
        <f>G11+G14</f>
        <v>116.63420130119</v>
      </c>
      <c r="H15" s="89">
        <f>H11+H14</f>
        <v>69.980520780712</v>
      </c>
      <c r="I15" s="89">
        <f>I11+I14</f>
        <v>1589.7241637352</v>
      </c>
      <c r="J15" s="89">
        <f>J11+J14</f>
        <v>157.4561717566</v>
      </c>
      <c r="K15" s="89">
        <f>K11+K14</f>
        <v>466.53680520475</v>
      </c>
      <c r="L15" s="89">
        <f>L11+L14</f>
        <v>635.07322608496</v>
      </c>
      <c r="M15" s="89">
        <f>M11+M14</f>
        <v>349.90260390356</v>
      </c>
      <c r="N15" s="89">
        <f>N11+N14</f>
        <v>209.94156234214</v>
      </c>
      <c r="O15"/>
    </row>
    <row r="16" spans="1:19">
      <c r="B16" s="88" t="s">
        <v>98</v>
      </c>
      <c r="C16" s="89">
        <f>C12+C14</f>
        <v>0.99805207807118</v>
      </c>
      <c r="D16" s="89">
        <f>D12+D14</f>
        <v>83.337348518944</v>
      </c>
      <c r="E16" s="89">
        <f>E12+E14</f>
        <v>44.912343513203</v>
      </c>
      <c r="F16" s="89">
        <f>F12+F14</f>
        <v>9.9805207807118</v>
      </c>
      <c r="G16" s="89">
        <f>G12+G14</f>
        <v>16.634201301186</v>
      </c>
      <c r="H16" s="89">
        <f>H12+H14</f>
        <v>9.9805207807118</v>
      </c>
      <c r="I16" s="89">
        <f>I12+I14</f>
        <v>226.72416373517</v>
      </c>
      <c r="J16" s="89">
        <f>J12+J14</f>
        <v>22.456171756602</v>
      </c>
      <c r="K16" s="89">
        <f>K12+K14</f>
        <v>66.536805204745</v>
      </c>
      <c r="L16" s="89">
        <f>L12+L14</f>
        <v>90.57322608496</v>
      </c>
      <c r="M16" s="89">
        <f>M12+M14</f>
        <v>49.902603903559</v>
      </c>
      <c r="N16" s="89">
        <f>N12+N14</f>
        <v>29.941562342135</v>
      </c>
      <c r="O16"/>
    </row>
    <row r="17" spans="1:19">
      <c r="B17" t="s">
        <v>99</v>
      </c>
      <c r="C17" s="89">
        <f>IF(O11&gt;5000,100*C13,50*C13)</f>
        <v>0.076540375047838</v>
      </c>
      <c r="D17" s="89">
        <f>IF(O11&gt;5000,100*D13,50*D13)</f>
        <v>6.3911213164944</v>
      </c>
      <c r="E17" s="89">
        <f>IF(O11&gt;5000,100*E13,50*E13)</f>
        <v>3.4443168771527</v>
      </c>
      <c r="F17" s="89">
        <f>IF(O11&gt;5000,100*F13,50*F13)</f>
        <v>0.76540375047838</v>
      </c>
      <c r="G17" s="89">
        <f>IF(O11&gt;5000,100*G13,50*G13)</f>
        <v>1.275672917464</v>
      </c>
      <c r="H17" s="89">
        <f>IF(O11&gt;5000,100*H13,50*H13)</f>
        <v>0.76540375047838</v>
      </c>
      <c r="I17" s="89">
        <f>IF(O11&gt;5000,100*I13,50*I13)</f>
        <v>17.387421865034</v>
      </c>
      <c r="J17" s="89">
        <f>IF(O11&gt;5000,100*J13,50*J13)</f>
        <v>1.7221584385763</v>
      </c>
      <c r="K17" s="89">
        <f>IF(O11&gt;5000,100*K13,50*K13)</f>
        <v>5.1026916698558</v>
      </c>
      <c r="L17" s="89">
        <f>IF(O11&gt;5000,100*L13,50*L13)</f>
        <v>6.9460390355913</v>
      </c>
      <c r="M17" s="89">
        <f>IF(O11&gt;5000,100*M13,50*M13)</f>
        <v>3.8270187523919</v>
      </c>
      <c r="N17" s="89">
        <f>IF(O11&gt;5000,100*N13,50*N13)</f>
        <v>2.2962112514351</v>
      </c>
      <c r="O17"/>
    </row>
    <row r="18" spans="1:19">
      <c r="B18" t="s">
        <v>100</v>
      </c>
      <c r="C18" s="89">
        <f>C15+C17</f>
        <v>7.074592453119</v>
      </c>
      <c r="D18" s="89">
        <f>D15+D17</f>
        <v>590.72846983544</v>
      </c>
      <c r="E18" s="89">
        <f>E15+E17</f>
        <v>318.35666039036</v>
      </c>
      <c r="F18" s="89">
        <f>F15+F17</f>
        <v>70.74592453119</v>
      </c>
      <c r="G18" s="89">
        <f>G15+G17</f>
        <v>117.90987421865</v>
      </c>
      <c r="H18" s="89">
        <f>H15+H17</f>
        <v>70.74592453119</v>
      </c>
      <c r="I18" s="89">
        <f>I15+I17</f>
        <v>1607.1115856002</v>
      </c>
      <c r="J18" s="89">
        <f>J15+J17</f>
        <v>159.17833019518</v>
      </c>
      <c r="K18" s="89">
        <f>K15+K17</f>
        <v>471.6394968746</v>
      </c>
      <c r="L18" s="89">
        <f>L15+L17</f>
        <v>642.01926512055</v>
      </c>
      <c r="M18" s="89">
        <f>M15+M17</f>
        <v>353.72962265595</v>
      </c>
      <c r="N18" s="89">
        <f>N15+N17</f>
        <v>212.23777359357</v>
      </c>
      <c r="O18"/>
    </row>
    <row r="19" spans="1:19">
      <c r="B19" s="88" t="s">
        <v>101</v>
      </c>
      <c r="C19" s="89">
        <f>C16+C17</f>
        <v>1.074592453119</v>
      </c>
      <c r="D19" s="89">
        <f>D16+D17</f>
        <v>89.728469835438</v>
      </c>
      <c r="E19" s="89">
        <f>E16+E17</f>
        <v>48.356660390356</v>
      </c>
      <c r="F19" s="89">
        <f>F16+F17</f>
        <v>10.74592453119</v>
      </c>
      <c r="G19" s="89">
        <f>G16+G17</f>
        <v>17.90987421865</v>
      </c>
      <c r="H19" s="89">
        <f>H16+H17</f>
        <v>10.74592453119</v>
      </c>
      <c r="I19" s="89">
        <f>I16+I17</f>
        <v>244.1115856002</v>
      </c>
      <c r="J19" s="89">
        <f>J16+J17</f>
        <v>24.178330195178</v>
      </c>
      <c r="K19" s="89">
        <f>K16+K17</f>
        <v>71.639496874601</v>
      </c>
      <c r="L19" s="89">
        <f>L16+L17</f>
        <v>97.519265120551</v>
      </c>
      <c r="M19" s="89">
        <f>M16+M17</f>
        <v>53.729622655951</v>
      </c>
      <c r="N19" s="89">
        <f>N16+N17</f>
        <v>32.237773593571</v>
      </c>
      <c r="O19"/>
    </row>
    <row r="23" spans="1:19">
      <c r="B23" s="85" t="s">
        <v>123</v>
      </c>
      <c r="C23"/>
      <c r="D23"/>
      <c r="E23"/>
    </row>
    <row r="26" spans="1:19">
      <c r="B26" t="s">
        <v>124</v>
      </c>
      <c r="C26" s="89">
        <v>0</v>
      </c>
      <c r="D26" s="89">
        <f>D10*0.63</f>
        <v>15.75</v>
      </c>
      <c r="E26" s="89">
        <f>E10*0.63</f>
        <v>10.08</v>
      </c>
      <c r="F26" s="89">
        <v>0</v>
      </c>
      <c r="G26" s="89">
        <v>0</v>
      </c>
      <c r="H26" s="89">
        <v>0</v>
      </c>
      <c r="I26" s="89">
        <f>I10*0.63</f>
        <v>101.43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f>SUM(C26:N26)</f>
        <v>127.26</v>
      </c>
    </row>
    <row r="27" spans="1:19">
      <c r="C27" s="94">
        <v>0.11</v>
      </c>
      <c r="D27" s="94">
        <v>0.11</v>
      </c>
      <c r="E27" s="94">
        <v>0.11</v>
      </c>
      <c r="F27" s="94">
        <v>0.06</v>
      </c>
      <c r="G27" s="94">
        <v>0.0</v>
      </c>
      <c r="H27" s="94">
        <v>0.06</v>
      </c>
      <c r="I27" s="94">
        <v>0.11</v>
      </c>
      <c r="J27" s="94">
        <v>0.11</v>
      </c>
      <c r="K27" s="94">
        <v>0.0</v>
      </c>
      <c r="L27" s="94">
        <v>0.0</v>
      </c>
      <c r="M27" s="94">
        <v>0.0</v>
      </c>
      <c r="N27" s="94">
        <v>0.0</v>
      </c>
      <c r="O27" s="93">
        <f>SUM(C27:N27)</f>
        <v>0.67</v>
      </c>
    </row>
    <row r="28" spans="1:19">
      <c r="B28" t="s">
        <v>117</v>
      </c>
      <c r="C28" s="89">
        <f>MAX(C19,C18)*C27</f>
        <v>0.77820516984309</v>
      </c>
      <c r="D28" s="89">
        <f>MAX(D19,D18)*D27</f>
        <v>64.980131681898</v>
      </c>
      <c r="E28" s="89">
        <f>MAX(E19,E18)*E27</f>
        <v>35.019232642939</v>
      </c>
      <c r="F28" s="89">
        <f>MAX(F19,F18)*F27</f>
        <v>4.2447554718714</v>
      </c>
      <c r="G28" s="89">
        <f>MAX(G19,G18)*G27</f>
        <v>0</v>
      </c>
      <c r="H28" s="89">
        <f>MAX(H19,H18)*H27</f>
        <v>4.2447554718714</v>
      </c>
      <c r="I28" s="89">
        <f>MAX(I19,I18)*I27</f>
        <v>176.78227441602</v>
      </c>
      <c r="J28" s="89">
        <f>MAX(J19,J18)*J27</f>
        <v>17.50961632147</v>
      </c>
      <c r="K28" s="89">
        <f>MAX(K19,K18)*K27</f>
        <v>0</v>
      </c>
      <c r="L28" s="89">
        <f>MAX(L19,L18)*L27</f>
        <v>0</v>
      </c>
      <c r="M28" s="89">
        <f>MAX(M19,M18)*M27</f>
        <v>0</v>
      </c>
      <c r="N28" s="89">
        <f>MAX(N19,N18)*N27</f>
        <v>0</v>
      </c>
      <c r="O28" s="89">
        <f>SUM(C28:N28)</f>
        <v>303.55897117592</v>
      </c>
    </row>
    <row r="29" spans="1:19">
      <c r="B29" t="s">
        <v>31</v>
      </c>
      <c r="C29" s="89">
        <f>0.16*(MAX(C19,C18)+C28)</f>
        <v>1.2564476196739</v>
      </c>
      <c r="D29" s="89">
        <f>0.16*(MAX(D19,D18)+D28)</f>
        <v>104.91337624277</v>
      </c>
      <c r="E29" s="89">
        <f>0.16*(MAX(E19,E18)+E28)</f>
        <v>56.540142885327</v>
      </c>
      <c r="F29" s="89">
        <f>0.16*(MAX(F19,F18)+F28)</f>
        <v>11.99850880049</v>
      </c>
      <c r="G29" s="89">
        <f>0.16*(MAX(G19,G18)+G28)</f>
        <v>18.865579874984</v>
      </c>
      <c r="H29" s="89">
        <f>0.16*(MAX(H19,H18)+H28)</f>
        <v>11.99850880049</v>
      </c>
      <c r="I29" s="89">
        <f>0.16*(MAX(I19,I18)+I28)</f>
        <v>285.4230176026</v>
      </c>
      <c r="J29" s="89">
        <f>0.16*(MAX(J19,J18)+J28)</f>
        <v>28.270071442664</v>
      </c>
      <c r="K29" s="89">
        <f>0.16*(MAX(K19,K18)+K28)</f>
        <v>75.462319499936</v>
      </c>
      <c r="L29" s="89">
        <f>0.16*(MAX(L19,L18)+L28)</f>
        <v>102.72308241929</v>
      </c>
      <c r="M29" s="89">
        <f>0.16*(MAX(M19,M18)+M28)</f>
        <v>56.596739624952</v>
      </c>
      <c r="N29" s="89">
        <f>0.16*(MAX(N19,N18)+N28)</f>
        <v>33.958043774971</v>
      </c>
      <c r="O29" s="89">
        <f>SUM(C29:N29)</f>
        <v>788.00583858815</v>
      </c>
    </row>
    <row r="30" spans="1:19">
      <c r="B30" t="s">
        <v>32</v>
      </c>
      <c r="C30" s="89">
        <f>0.02*(MAX(C19,C18)+C28)</f>
        <v>0.15705595245924</v>
      </c>
      <c r="D30" s="89">
        <f>0.02*(MAX(D19,D18)+D28)</f>
        <v>13.114172030347</v>
      </c>
      <c r="E30" s="89">
        <f>0.02*(MAX(E19,E18)+E28)</f>
        <v>7.0675178606659</v>
      </c>
      <c r="F30" s="89">
        <f>0.02*(MAX(F19,F18)+F28)</f>
        <v>1.4998136000612</v>
      </c>
      <c r="G30" s="89">
        <f>0.02*(MAX(G19,G18)+G28)</f>
        <v>2.358197484373</v>
      </c>
      <c r="H30" s="89">
        <f>0.02*(MAX(H19,H18)+H28)</f>
        <v>1.4998136000612</v>
      </c>
      <c r="I30" s="89">
        <f>0.02*(MAX(I19,I18)+I28)</f>
        <v>35.677877200325</v>
      </c>
      <c r="J30" s="89">
        <f>0.02*(MAX(J19,J18)+J28)</f>
        <v>3.5337589303329</v>
      </c>
      <c r="K30" s="89">
        <f>0.02*(MAX(K19,K18)+K28)</f>
        <v>9.432789937492</v>
      </c>
      <c r="L30" s="89">
        <f>0.02*(MAX(L19,L18)+L28)</f>
        <v>12.840385302411</v>
      </c>
      <c r="M30" s="89">
        <f>0.02*(MAX(M19,M18)+M28)</f>
        <v>7.074592453119</v>
      </c>
      <c r="N30" s="89">
        <f>0.02*(MAX(N19,N18)+N28)</f>
        <v>4.2447554718714</v>
      </c>
      <c r="O30" s="89">
        <f>SUM(C30:N30)</f>
        <v>98.500729823518</v>
      </c>
    </row>
    <row r="31" spans="1:19">
      <c r="B31" t="s">
        <v>118</v>
      </c>
      <c r="C31" s="89">
        <f>0.035*(MAX(C18,C19) +C28+C29+C30)</f>
        <v>0.32432054182834</v>
      </c>
      <c r="D31" s="89">
        <f>0.035*(MAX(D18,D19) +D28+D29+D30)</f>
        <v>27.080765242666</v>
      </c>
      <c r="E31" s="89">
        <f>0.035*(MAX(E18,E19) +E28+E29+E30)</f>
        <v>14.594424382275</v>
      </c>
      <c r="F31" s="89">
        <f>0.035*(MAX(F18,F19) +F28+F29+F30)</f>
        <v>3.0971150841264</v>
      </c>
      <c r="G31" s="89">
        <f>0.035*(MAX(G18,G19) +G28+G29+G30)</f>
        <v>4.8696778052303</v>
      </c>
      <c r="H31" s="89">
        <f>0.035*(MAX(H18,H19) +H28+H29+H30)</f>
        <v>3.0971150841264</v>
      </c>
      <c r="I31" s="89">
        <f>0.035*(MAX(I18,I19) +I28+I29+I30)</f>
        <v>73.67481641867</v>
      </c>
      <c r="J31" s="89">
        <f>0.035*(MAX(J18,J19) +J28+J29+J30)</f>
        <v>7.2972121911375</v>
      </c>
      <c r="K31" s="89">
        <f>0.035*(MAX(K18,K19) +K28+K29+K30)</f>
        <v>19.478711220921</v>
      </c>
      <c r="L31" s="89">
        <f>0.035*(MAX(L18,L19) +L28+L29+L30)</f>
        <v>26.515395649479</v>
      </c>
      <c r="M31" s="89">
        <f>0.035*(MAX(M18,M19) +M28+M29+M30)</f>
        <v>14.609033415691</v>
      </c>
      <c r="N31" s="89">
        <f>0.035*(MAX(N18,N19) +N28+N29+N30)</f>
        <v>8.7654200494145</v>
      </c>
      <c r="O31" s="89">
        <f>SUM(C31:N31)</f>
        <v>203.40400708557</v>
      </c>
    </row>
    <row r="32" spans="1:19">
      <c r="B32" t="s">
        <v>36</v>
      </c>
      <c r="C32" s="89">
        <f>SUM(C28:C31)</f>
        <v>2.5160292838046</v>
      </c>
      <c r="D32" s="89">
        <f>SUM(D28:D31)</f>
        <v>210.08844519768</v>
      </c>
      <c r="E32" s="89">
        <f>SUM(E28:E31)</f>
        <v>113.22131777121</v>
      </c>
      <c r="F32" s="89">
        <f>SUM(F28:F31)</f>
        <v>20.840192956549</v>
      </c>
      <c r="G32" s="89">
        <f>SUM(G28:G31)</f>
        <v>26.093455164587</v>
      </c>
      <c r="H32" s="89">
        <f>SUM(H28:H31)</f>
        <v>20.840192956549</v>
      </c>
      <c r="I32" s="89">
        <f>SUM(I28:I31)</f>
        <v>571.55798563762</v>
      </c>
      <c r="J32" s="89">
        <f>SUM(J28:J31)</f>
        <v>56.610658885604</v>
      </c>
      <c r="K32" s="89">
        <f>SUM(K28:K31)</f>
        <v>104.37382065835</v>
      </c>
      <c r="L32" s="89">
        <f>SUM(L28:L31)</f>
        <v>142.07886337118</v>
      </c>
      <c r="M32" s="89">
        <f>SUM(M28:M31)</f>
        <v>78.280365493762</v>
      </c>
      <c r="N32" s="89">
        <f>SUM(N28:N31)</f>
        <v>46.968219296257</v>
      </c>
      <c r="O32" s="89">
        <f>SUM(O28:O31)</f>
        <v>1393.4695466731</v>
      </c>
    </row>
    <row r="37" spans="1:19">
      <c r="B37" s="85" t="s">
        <v>125</v>
      </c>
      <c r="C37"/>
      <c r="D37"/>
      <c r="E37"/>
    </row>
    <row r="40" spans="1:19">
      <c r="B40" t="s">
        <v>119</v>
      </c>
      <c r="C40" s="89">
        <f>C13*O40</f>
        <v>0.66536805204745</v>
      </c>
      <c r="D40" s="89">
        <f>D13*O40</f>
        <v>55.558232345962</v>
      </c>
      <c r="E40" s="89">
        <f>E13*O40</f>
        <v>29.941562342135</v>
      </c>
      <c r="F40" s="89">
        <f>F13*O40</f>
        <v>6.6536805204745</v>
      </c>
      <c r="G40" s="89">
        <f>G13*O40</f>
        <v>11.089467534124</v>
      </c>
      <c r="H40" s="89">
        <f>H13*O40</f>
        <v>6.6536805204745</v>
      </c>
      <c r="I40" s="89">
        <f>I13*O40</f>
        <v>151.14944249011</v>
      </c>
      <c r="J40" s="89">
        <f>J13*O40</f>
        <v>14.970781171068</v>
      </c>
      <c r="K40" s="89">
        <f>K13*O40</f>
        <v>44.357870136497</v>
      </c>
      <c r="L40" s="89">
        <f>L13*O40</f>
        <v>60.382150723306</v>
      </c>
      <c r="M40" s="89">
        <f>M13*O40</f>
        <v>33.268402602373</v>
      </c>
      <c r="N40" s="89">
        <f>N13*O40</f>
        <v>19.961041561424</v>
      </c>
      <c r="O40">
        <f>IF(O7&lt;1, S7*0.4,S7*0.4*O7)</f>
        <v>434.65168</v>
      </c>
    </row>
    <row r="41" spans="1:19">
      <c r="B41"/>
    </row>
    <row r="43" spans="1:19">
      <c r="B43" t="s">
        <v>119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109</v>
      </c>
      <c r="K43" t="s">
        <v>110</v>
      </c>
      <c r="L43" t="s">
        <v>111</v>
      </c>
      <c r="M43" t="s">
        <v>112</v>
      </c>
      <c r="N43" t="s">
        <v>113</v>
      </c>
      <c r="O43" t="s">
        <v>116</v>
      </c>
    </row>
    <row r="44" spans="1:19">
      <c r="B44" t="s">
        <v>120</v>
      </c>
      <c r="C44" s="89">
        <f>SUM(C15,C40,C32,(C26))</f>
        <v>10.179449413923</v>
      </c>
      <c r="D44" s="89">
        <f>SUM(D15,D40,D32,(D26))</f>
        <v>865.73402606259</v>
      </c>
      <c r="E44" s="89">
        <f>SUM(E15,E40,E32,(E26))</f>
        <v>468.15522362655</v>
      </c>
      <c r="F44" s="89">
        <f>SUM(F15,F40,F32,(F26))</f>
        <v>97.474394257735</v>
      </c>
      <c r="G44" s="89">
        <f>SUM(G15,G40,G32,(G26))</f>
        <v>153.8171239999</v>
      </c>
      <c r="H44" s="89">
        <f>SUM(H15,H40,H32,(H26))</f>
        <v>97.474394257735</v>
      </c>
      <c r="I44" s="89">
        <f>SUM(I15,I40,I32,(I26))</f>
        <v>2413.8615918629</v>
      </c>
      <c r="J44" s="89">
        <f>SUM(J15,J40,J32,(J26))</f>
        <v>229.03761181327</v>
      </c>
      <c r="K44" s="89">
        <f>SUM(K15,K40,K32,(K26))</f>
        <v>615.26849599959</v>
      </c>
      <c r="L44" s="89">
        <f>SUM(L15,L40,L32,(L26))</f>
        <v>837.53424017944</v>
      </c>
      <c r="M44" s="89">
        <f>SUM(M15,M40,M32,(M26))</f>
        <v>461.45137199969</v>
      </c>
      <c r="N44" s="89">
        <f>SUM(N15,N40,N32,(N26))</f>
        <v>276.87082319982</v>
      </c>
      <c r="O44" s="89">
        <f>SUM(C44:N44)</f>
        <v>6526.8587466732</v>
      </c>
    </row>
    <row r="45" spans="1:19">
      <c r="B45" t="s">
        <v>45</v>
      </c>
      <c r="C45">
        <v>2</v>
      </c>
      <c r="D45">
        <v>25</v>
      </c>
      <c r="E45">
        <v>16</v>
      </c>
      <c r="F45">
        <v>2</v>
      </c>
      <c r="G45">
        <v>20</v>
      </c>
      <c r="H45">
        <v>2</v>
      </c>
      <c r="I45">
        <v>161</v>
      </c>
      <c r="J45">
        <v>15</v>
      </c>
      <c r="K45">
        <v>8</v>
      </c>
      <c r="L45">
        <v>32</v>
      </c>
      <c r="M45">
        <v>1</v>
      </c>
      <c r="N45">
        <v>1</v>
      </c>
      <c r="O45"/>
    </row>
    <row r="46" spans="1:19">
      <c r="B46" t="s">
        <v>121</v>
      </c>
      <c r="C46" s="89">
        <f>SUM(C44/C45)</f>
        <v>5.0897247069616</v>
      </c>
      <c r="D46" s="89">
        <f>SUM(D44/D45)</f>
        <v>34.629361042504</v>
      </c>
      <c r="E46" s="89">
        <f>SUM(E44/E45)</f>
        <v>29.259701476659</v>
      </c>
      <c r="F46" s="89">
        <f>SUM(F44/F45)</f>
        <v>48.737197128868</v>
      </c>
      <c r="G46" s="89">
        <f>SUM(G44/G45)</f>
        <v>7.6908561999949</v>
      </c>
      <c r="H46" s="89">
        <f>SUM(H44/H45)</f>
        <v>48.737197128868</v>
      </c>
      <c r="I46" s="89">
        <f>SUM(I44/I45)</f>
        <v>14.992929142006</v>
      </c>
      <c r="J46" s="89">
        <f>SUM(J44/J45)</f>
        <v>15.269174120885</v>
      </c>
      <c r="K46" s="89">
        <f>SUM(K44/K45)</f>
        <v>76.908561999949</v>
      </c>
      <c r="L46" s="89">
        <f>SUM(L44/L45)</f>
        <v>26.172945005608</v>
      </c>
      <c r="M46" s="89">
        <f>SUM(M44/M45)</f>
        <v>461.45137199969</v>
      </c>
      <c r="N46" s="89">
        <f>SUM(N44/N45)</f>
        <v>276.87082319982</v>
      </c>
      <c r="O46"/>
    </row>
    <row r="47" spans="1:19">
      <c r="B47" t="s">
        <v>122</v>
      </c>
      <c r="C47" s="95">
        <f>C46*3.7</f>
        <v>18.831981415758</v>
      </c>
      <c r="D47" s="95">
        <f>D46*3.7</f>
        <v>128.12863585726</v>
      </c>
      <c r="E47" s="95">
        <f>E46*3.7</f>
        <v>108.26089546364</v>
      </c>
      <c r="F47" s="95">
        <f>F46*3.7</f>
        <v>180.32762937681</v>
      </c>
      <c r="G47" s="95">
        <f>G46*3.7</f>
        <v>28.456167939981</v>
      </c>
      <c r="H47" s="95">
        <f>H46*3.7</f>
        <v>180.32762937681</v>
      </c>
      <c r="I47" s="95">
        <f>I46*3.7</f>
        <v>55.473837825421</v>
      </c>
      <c r="J47" s="95">
        <f>J46*3.7</f>
        <v>56.495944247274</v>
      </c>
      <c r="K47" s="95">
        <f>K46*3.7</f>
        <v>284.56167939981</v>
      </c>
      <c r="L47" s="95">
        <f>L46*3.7</f>
        <v>96.839896520748</v>
      </c>
      <c r="M47" s="95">
        <f>M46*3.7</f>
        <v>1707.3700763989</v>
      </c>
      <c r="N47" s="95">
        <f>N46*3.7</f>
        <v>1024.4220458393</v>
      </c>
      <c r="O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