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<sst xmlns="http://schemas.openxmlformats.org/spreadsheetml/2006/main" uniqueCount="121">
  <si>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</si>
  <si>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</si>
  <si>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</si>
  <si>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</si>
  <si>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VICTOR LUIS SAN MIGUEL CASAS</t>
  </si>
  <si>
    <t>SERVICIO:</t>
  </si>
  <si>
    <t>CARGA CONSOLIDADA</t>
  </si>
  <si>
    <t>N° CAJAS:</t>
  </si>
  <si>
    <t>APELLIDO:</t>
  </si>
  <si>
    <t>FECHA:</t>
  </si>
  <si>
    <t>PESO:</t>
  </si>
  <si>
    <t>800 Kg</t>
  </si>
  <si>
    <t>DNI/RUC:</t>
  </si>
  <si>
    <t>ORIGEN:</t>
  </si>
  <si>
    <t>CHINA</t>
  </si>
  <si>
    <t>MEDIDA:</t>
  </si>
  <si>
    <t>TELEFONO:</t>
  </si>
  <si>
    <t>51 956 686 057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</si>
  <si>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</si>
  <si>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</si>
  <si>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</si>
  <si>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</si>
  <si>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</si>
  <si>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</si>
  <si>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</si>
  <si>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</si>
  <si>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</si>
  <si>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</si>
  <si>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</si>
  <si>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</si>
  <si>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</si>
  <si>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</si>
  <si>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</si>
  <si>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</si>
  <si>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</si>
  <si>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</si>
  <si>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</si>
  <si>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</si>
  <si>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</si>
  <si>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</si>
  <si>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</si>
  <si>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</si>
  <si>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</si>
  <si>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</si>
  <si>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</si>
  <si>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</si>
  <si>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</si>
  <si>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</si>
  <si>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</si>
  <si>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</si>
  <si>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</si>
  <si>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</si>
  <si>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</si>
  <si>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</si>
  <si>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</si>
  <si>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</si>
  <si>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</si>
  <si>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</si>
  <si>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</si>
  <si>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</si>
  <si>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</si>
  <si>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</si>
  <si>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</si>
  <si>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</si>
  <si>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</si>
  <si>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</si>
  <si>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</si>
  <si>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</si>
  <si>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</si>
  <si>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</si>
  <si>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</si>
  <si>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</si>
  <si>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</si>
  <si>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</si>
  <si>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</si>
  <si>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</si>
  <si>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</si>
  <si>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</si>
  <si>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</si>
  <si>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</si>
  <si>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</si>
  <si>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</si>
  <si>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</si>
  <si>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</si>
  <si>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</si>
  <si>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VICTOR LUIS SAN MIGUEL CASAS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</si>
  <si>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</si>
  <si>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</si>
  <si>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</si>
  <si>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</si>
  <si>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</si>
  <si>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</si>
  <si>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</si>
  <si>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</si>
  <si>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</si>
  <si>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</si>
  <si>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</si>
  <si>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</si>
  <si>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</si>
  <si>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</si>
  <si>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</si>
  <si>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</si>
  <si>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CASACA TACTICA MILITAR</t>
  </si>
  <si>
    <t>PANTALON TACTICO MILITAR</t>
  </si>
  <si>
    <t>PULSERA MULTIFUNCIONAL 5 EN 1</t>
  </si>
  <si>
    <t>PASAMONTAÑA MILITAR</t>
  </si>
  <si>
    <t>GORRO TACTICO MILITAR</t>
  </si>
  <si>
    <t>CAMISETA TACTICA MILITAR</t>
  </si>
  <si>
    <t>CAMISETA MANGA LARGA MILITAR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</si>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</sst>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74143306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3.2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629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53.556130402604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682.5561304026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109.20898086442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109.20898086442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109.20898086442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629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'2'!I40, '2'!I40*J11)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629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200</v>
      </c>
      <c r="G36" s="66">
        <f>+'2'!$C$10</f>
        <v>200</v>
      </c>
      <c r="H36" s="67"/>
      <c r="I36" s="27">
        <f>+'2'!$C$46</f>
        <v>12.830979862239</v>
      </c>
      <c r="J36" s="27">
        <f>+F36*I36</f>
        <v>2566.1959724478</v>
      </c>
      <c r="K36" s="54">
        <f>I36*3.7</f>
        <v>47.474625490284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442</v>
      </c>
      <c r="G37" s="66">
        <f>+'2'!$D$10</f>
        <v>442</v>
      </c>
      <c r="H37" s="67"/>
      <c r="I37" s="27">
        <f>+'2'!$D$46</f>
        <v>12.390002911436</v>
      </c>
      <c r="J37" s="27">
        <f>+F37*I37</f>
        <v>5476.3812868547</v>
      </c>
      <c r="K37" s="54">
        <f>I37*3.7</f>
        <v>45.843010772313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</v>
      </c>
      <c r="G38" s="66">
        <f>+'2'!$E$10</f>
        <v>50</v>
      </c>
      <c r="H38" s="67"/>
      <c r="I38" s="27">
        <f>+'2'!$E$46</f>
        <v>1.0321552428146</v>
      </c>
      <c r="J38" s="27">
        <f>+F38*I38</f>
        <v>51.60776214073</v>
      </c>
      <c r="K38" s="82">
        <f>I38*3.7</f>
        <v>3.818974398414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692</v>
      </c>
      <c r="G39" s="2"/>
      <c r="H39" s="2"/>
      <c r="J39" s="28">
        <f>+SUM(J36:J38)</f>
        <v>8094.1850214432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6.993" bestFit="true" customWidth="true" style="0"/>
    <col min="4" max="4" width="29.421" bestFit="true" customWidth="true" style="0"/>
    <col min="5" max="5" width="35.277" bestFit="true" customWidth="true" style="0"/>
    <col min="6" max="6" width="23.423" bestFit="true" customWidth="true" style="0"/>
    <col min="7" max="7" width="25.851" bestFit="true" customWidth="true" style="0"/>
    <col min="8" max="8" width="29.421" bestFit="true" customWidth="true" style="0"/>
    <col min="9" max="9" width="34.135" bestFit="true" customWidth="true" style="0"/>
    <col min="10" max="10" width="11.711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800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2.55</v>
      </c>
      <c r="M7" s="90" t="s">
        <v>19</v>
      </c>
      <c r="N7" s="90">
        <v>321.88</v>
      </c>
    </row>
    <row r="8" spans="1:14">
      <c r="B8" t="s">
        <v>90</v>
      </c>
      <c r="C8" s="89">
        <v>9.44775</v>
      </c>
      <c r="D8" s="89">
        <v>8.2386877828054</v>
      </c>
      <c r="E8" s="89">
        <v>0.76</v>
      </c>
      <c r="F8" s="89">
        <v>1.45</v>
      </c>
      <c r="G8" s="89">
        <v>1.2182608695652</v>
      </c>
      <c r="H8" s="89">
        <v>2.5</v>
      </c>
      <c r="I8" s="89">
        <v>7.4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200</v>
      </c>
      <c r="D10">
        <v>442</v>
      </c>
      <c r="E10">
        <v>50</v>
      </c>
      <c r="F10">
        <v>50</v>
      </c>
      <c r="G10">
        <v>460</v>
      </c>
      <c r="H10">
        <v>51</v>
      </c>
      <c r="I10">
        <v>85</v>
      </c>
      <c r="J10">
        <f>SUM(C10:I10)</f>
        <v>1338</v>
      </c>
    </row>
    <row r="11" spans="1:14">
      <c r="B11" t="s">
        <v>93</v>
      </c>
      <c r="C11" s="89">
        <f>C8*C10</f>
        <v>1889.55</v>
      </c>
      <c r="D11" s="89">
        <f>D8*D10</f>
        <v>3641.5</v>
      </c>
      <c r="E11" s="89">
        <f>E8*E10</f>
        <v>38</v>
      </c>
      <c r="F11" s="89">
        <f>F8*F10</f>
        <v>72.5</v>
      </c>
      <c r="G11" s="89">
        <f>G8*G10</f>
        <v>560.39999999999</v>
      </c>
      <c r="H11" s="89">
        <f>H8*H10</f>
        <v>127.5</v>
      </c>
      <c r="I11" s="89">
        <f>I8*I10</f>
        <v>629</v>
      </c>
      <c r="J11">
        <f>SUM(C11:I11)</f>
        <v>6958.45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0.27154754291545</v>
      </c>
      <c r="D13" s="93">
        <f>D11/J11</f>
        <v>0.52332056708031</v>
      </c>
      <c r="E13" s="93">
        <f>E11/J11</f>
        <v>0.0054609862828647</v>
      </c>
      <c r="F13" s="93">
        <f>F11/J11</f>
        <v>0.010418986987045</v>
      </c>
      <c r="G13" s="93">
        <f>G11/J11</f>
        <v>0.08053517665572</v>
      </c>
      <c r="H13" s="93">
        <f>H11/J11</f>
        <v>0.018323046080665</v>
      </c>
      <c r="I13" s="93">
        <f>I11/J11</f>
        <v>0.090393693997945</v>
      </c>
      <c r="J13"/>
    </row>
    <row r="14" spans="1:14">
      <c r="B14" t="s">
        <v>96</v>
      </c>
      <c r="C14" s="89">
        <f>J14*C13</f>
        <v>133.73075636385</v>
      </c>
      <c r="D14" s="89">
        <f>J14*D13</f>
        <v>257.72302892167</v>
      </c>
      <c r="E14" s="89">
        <f>J14*E13</f>
        <v>2.6894068650346</v>
      </c>
      <c r="F14" s="89">
        <f>J14*F13</f>
        <v>5.1311052030266</v>
      </c>
      <c r="G14" s="89">
        <f>J14*G13</f>
        <v>39.661673872773</v>
      </c>
      <c r="H14" s="89">
        <f>J14*H13</f>
        <v>9.0236677708398</v>
      </c>
      <c r="I14" s="89">
        <f>J14*I13</f>
        <v>44.51676100281</v>
      </c>
      <c r="J14">
        <f>IF(J7&lt;1, N7*0.6, N7*0.6*J7)</f>
        <v>492.4764</v>
      </c>
    </row>
    <row r="15" spans="1:14">
      <c r="B15" t="s">
        <v>97</v>
      </c>
      <c r="C15" s="89">
        <f>C11+C14</f>
        <v>2023.2807563638</v>
      </c>
      <c r="D15" s="89">
        <f>D11+D14</f>
        <v>3899.2230289217</v>
      </c>
      <c r="E15" s="89">
        <f>E11+E14</f>
        <v>40.689406865035</v>
      </c>
      <c r="F15" s="89">
        <f>F11+F14</f>
        <v>77.631105203027</v>
      </c>
      <c r="G15" s="89">
        <f>G11+G14</f>
        <v>600.06167387276</v>
      </c>
      <c r="H15" s="89">
        <f>H11+H14</f>
        <v>136.52366777084</v>
      </c>
      <c r="I15" s="89">
        <f>I11+I14</f>
        <v>673.51676100281</v>
      </c>
      <c r="J15"/>
    </row>
    <row r="16" spans="1:14">
      <c r="B16" s="88" t="s">
        <v>98</v>
      </c>
      <c r="C16" s="89">
        <f>C12+C14</f>
        <v>133.73075636385</v>
      </c>
      <c r="D16" s="89">
        <f>D12+D14</f>
        <v>257.72302892167</v>
      </c>
      <c r="E16" s="89">
        <f>E12+E14</f>
        <v>2.6894068650346</v>
      </c>
      <c r="F16" s="89">
        <f>F12+F14</f>
        <v>5.1311052030266</v>
      </c>
      <c r="G16" s="89">
        <f>G12+G14</f>
        <v>39.661673872773</v>
      </c>
      <c r="H16" s="89">
        <f>H12+H14</f>
        <v>9.0236677708398</v>
      </c>
      <c r="I16" s="89">
        <f>I12+I14</f>
        <v>44.51676100281</v>
      </c>
      <c r="J16"/>
    </row>
    <row r="17" spans="1:14">
      <c r="B17" t="s">
        <v>99</v>
      </c>
      <c r="C17" s="89">
        <f>IF(J11&gt;5000,100*C13,50*C13)</f>
        <v>27.154754291545</v>
      </c>
      <c r="D17" s="89">
        <f>IF(J11&gt;5000,100*D13,50*D13)</f>
        <v>52.332056708031</v>
      </c>
      <c r="E17" s="89">
        <f>IF(J11&gt;5000,100*E13,50*E13)</f>
        <v>0.54609862828647</v>
      </c>
      <c r="F17" s="89">
        <f>IF(J11&gt;5000,100*F13,50*F13)</f>
        <v>1.0418986987045</v>
      </c>
      <c r="G17" s="89">
        <f>IF(J11&gt;5000,100*G13,50*G13)</f>
        <v>8.053517665572</v>
      </c>
      <c r="H17" s="89">
        <f>IF(J11&gt;5000,100*H13,50*H13)</f>
        <v>1.8323046080665</v>
      </c>
      <c r="I17" s="89">
        <f>IF(J11&gt;5000,100*I13,50*I13)</f>
        <v>9.0393693997945</v>
      </c>
      <c r="J17"/>
    </row>
    <row r="18" spans="1:14">
      <c r="B18" t="s">
        <v>100</v>
      </c>
      <c r="C18" s="89">
        <f>C15+C17</f>
        <v>2050.4355106554</v>
      </c>
      <c r="D18" s="89">
        <f>D15+D17</f>
        <v>3951.5550856297</v>
      </c>
      <c r="E18" s="89">
        <f>E15+E17</f>
        <v>41.235505493321</v>
      </c>
      <c r="F18" s="89">
        <f>F15+F17</f>
        <v>78.673003901731</v>
      </c>
      <c r="G18" s="89">
        <f>G15+G17</f>
        <v>608.11519153834</v>
      </c>
      <c r="H18" s="89">
        <f>H15+H17</f>
        <v>138.35597237891</v>
      </c>
      <c r="I18" s="89">
        <f>I15+I17</f>
        <v>682.5561304026</v>
      </c>
      <c r="J18"/>
    </row>
    <row r="19" spans="1:14">
      <c r="B19" s="88" t="s">
        <v>101</v>
      </c>
      <c r="C19" s="89">
        <f>C16+C17</f>
        <v>160.88551065539</v>
      </c>
      <c r="D19" s="89">
        <f>D16+D17</f>
        <v>310.0550856297</v>
      </c>
      <c r="E19" s="89">
        <f>E16+E17</f>
        <v>3.2355054933211</v>
      </c>
      <c r="F19" s="89">
        <f>F16+F17</f>
        <v>6.173003901731</v>
      </c>
      <c r="G19" s="89">
        <f>G16+G17</f>
        <v>47.715191538345</v>
      </c>
      <c r="H19" s="89">
        <f>H16+H17</f>
        <v>10.855972378906</v>
      </c>
      <c r="I19" s="89">
        <f>I16+I17</f>
        <v>53.556130402604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0.11</v>
      </c>
      <c r="E27" s="94">
        <v>0.0</v>
      </c>
      <c r="F27" s="94">
        <v>0.06</v>
      </c>
      <c r="G27" s="94">
        <v>0.0</v>
      </c>
      <c r="H27" s="94">
        <v>0.0</v>
      </c>
      <c r="I27" s="94">
        <v>0.0</v>
      </c>
      <c r="J27" s="93">
        <f>SUM(C27:I27)</f>
        <v>0.17</v>
      </c>
    </row>
    <row r="28" spans="1:14">
      <c r="B28" t="s">
        <v>112</v>
      </c>
      <c r="C28" s="89">
        <f>MAX(C19,C18)*C27</f>
        <v>0</v>
      </c>
      <c r="D28" s="89">
        <f>MAX(D19,D18)*D27</f>
        <v>434.67105941927</v>
      </c>
      <c r="E28" s="89">
        <f>MAX(E19,E18)*E27</f>
        <v>0</v>
      </c>
      <c r="F28" s="89">
        <f>MAX(F19,F18)*F27</f>
        <v>4.7203802341039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439.39143965337</v>
      </c>
    </row>
    <row r="29" spans="1:14">
      <c r="B29" t="s">
        <v>31</v>
      </c>
      <c r="C29" s="89">
        <f>0.16*(MAX(C19,C18)+C28)</f>
        <v>328.06968170486</v>
      </c>
      <c r="D29" s="89">
        <f>0.16*(MAX(D19,D18)+D28)</f>
        <v>701.79618320783</v>
      </c>
      <c r="E29" s="89">
        <f>0.16*(MAX(E19,E18)+E28)</f>
        <v>6.5976808789314</v>
      </c>
      <c r="F29" s="89">
        <f>0.16*(MAX(F19,F18)+F28)</f>
        <v>13.342941461734</v>
      </c>
      <c r="G29" s="89">
        <f>0.16*(MAX(G19,G18)+G28)</f>
        <v>97.298430646134</v>
      </c>
      <c r="H29" s="89">
        <f>0.16*(MAX(H19,H18)+H28)</f>
        <v>22.136955580625</v>
      </c>
      <c r="I29" s="89">
        <f>0.16*(MAX(I19,I18)+I28)</f>
        <v>109.20898086442</v>
      </c>
      <c r="J29" s="89">
        <f>SUM(C29:I29)</f>
        <v>1278.4508543445</v>
      </c>
    </row>
    <row r="30" spans="1:14">
      <c r="B30" t="s">
        <v>32</v>
      </c>
      <c r="C30" s="89">
        <f>0.02*(MAX(C19,C18)+C28)</f>
        <v>41.008710213108</v>
      </c>
      <c r="D30" s="89">
        <f>0.02*(MAX(D19,D18)+D28)</f>
        <v>87.724522900979</v>
      </c>
      <c r="E30" s="89">
        <f>0.02*(MAX(E19,E18)+E28)</f>
        <v>0.82471010986642</v>
      </c>
      <c r="F30" s="89">
        <f>0.02*(MAX(F19,F18)+F28)</f>
        <v>1.6678676827167</v>
      </c>
      <c r="G30" s="89">
        <f>0.02*(MAX(G19,G18)+G28)</f>
        <v>12.162303830767</v>
      </c>
      <c r="H30" s="89">
        <f>0.02*(MAX(H19,H18)+H28)</f>
        <v>2.7671194475781</v>
      </c>
      <c r="I30" s="89">
        <f>0.02*(MAX(I19,I18)+I28)</f>
        <v>13.651122608052</v>
      </c>
      <c r="J30" s="89">
        <f>SUM(C30:I30)</f>
        <v>159.80635679307</v>
      </c>
    </row>
    <row r="31" spans="1:14">
      <c r="B31" t="s">
        <v>113</v>
      </c>
      <c r="C31" s="89">
        <f>0.035*(MAX(C18,C19) +C28+C29+C30)</f>
        <v>84.682986590068</v>
      </c>
      <c r="D31" s="89">
        <f>0.035*(MAX(D18,D19) +D28+D29+D30)</f>
        <v>181.15113979052</v>
      </c>
      <c r="E31" s="89">
        <f>0.035*(MAX(E18,E19) +E28+E29+E30)</f>
        <v>1.7030263768742</v>
      </c>
      <c r="F31" s="89">
        <f>0.035*(MAX(F18,F19) +F28+F29+F30)</f>
        <v>3.44414676481</v>
      </c>
      <c r="G31" s="89">
        <f>0.035*(MAX(G18,G19) +G28+G29+G30)</f>
        <v>25.115157410533</v>
      </c>
      <c r="H31" s="89">
        <f>0.035*(MAX(H18,H19) +H28+H29+H30)</f>
        <v>5.7141016592488</v>
      </c>
      <c r="I31" s="89">
        <f>0.035*(MAX(I18,I19) +I28+I29+I30)</f>
        <v>28.189568185628</v>
      </c>
      <c r="J31" s="89">
        <f>SUM(C31:I31)</f>
        <v>330.00012677768</v>
      </c>
    </row>
    <row r="32" spans="1:14">
      <c r="B32" t="s">
        <v>36</v>
      </c>
      <c r="C32" s="89">
        <f>SUM(C28:C31)</f>
        <v>453.76137850804</v>
      </c>
      <c r="D32" s="89">
        <f>SUM(D28:D31)</f>
        <v>1405.3429053186</v>
      </c>
      <c r="E32" s="89">
        <f>SUM(E28:E31)</f>
        <v>9.125417365672</v>
      </c>
      <c r="F32" s="89">
        <f>SUM(F28:F31)</f>
        <v>23.175336143364</v>
      </c>
      <c r="G32" s="89">
        <f>SUM(G28:G31)</f>
        <v>134.57589188743</v>
      </c>
      <c r="H32" s="89">
        <f>SUM(H28:H31)</f>
        <v>30.618176687452</v>
      </c>
      <c r="I32" s="89">
        <f>SUM(I28:I31)</f>
        <v>151.0496716581</v>
      </c>
      <c r="J32" s="89">
        <f>SUM(J28:J31)</f>
        <v>2207.6487775687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89.153837575897</v>
      </c>
      <c r="D40" s="89">
        <f>D13*J40</f>
        <v>171.81535261445</v>
      </c>
      <c r="E40" s="89">
        <f>E13*J40</f>
        <v>1.7929379100231</v>
      </c>
      <c r="F40" s="89">
        <f>F13*J40</f>
        <v>3.4207368020177</v>
      </c>
      <c r="G40" s="89">
        <f>G13*J40</f>
        <v>26.441115915182</v>
      </c>
      <c r="H40" s="89">
        <f>H13*J40</f>
        <v>6.0157785138932</v>
      </c>
      <c r="I40" s="89">
        <f>I13*J40</f>
        <v>29.67784066854</v>
      </c>
      <c r="J40">
        <f>IF(J7&lt;1, N7*0.4,N7*0.4*J7)</f>
        <v>328.3176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2566.1959724478</v>
      </c>
      <c r="D44" s="89">
        <f>SUM(D15,D40,D32,(D26))</f>
        <v>5476.3812868547</v>
      </c>
      <c r="E44" s="89">
        <f>SUM(E15,E40,E32,(E26))</f>
        <v>51.60776214073</v>
      </c>
      <c r="F44" s="89">
        <f>SUM(F15,F40,F32,(F26))</f>
        <v>104.22717814841</v>
      </c>
      <c r="G44" s="89">
        <f>SUM(G15,G40,G32,(G26))</f>
        <v>761.07868167538</v>
      </c>
      <c r="H44" s="89">
        <f>SUM(H15,H40,H32,(H26))</f>
        <v>173.15762297218</v>
      </c>
      <c r="I44" s="89">
        <f>SUM(I15,I40,I32,(I26))</f>
        <v>854.24427332945</v>
      </c>
      <c r="J44" s="89">
        <f>SUM(C44:I44)</f>
        <v>9986.8927775686</v>
      </c>
    </row>
    <row r="45" spans="1:14">
      <c r="B45" t="s">
        <v>45</v>
      </c>
      <c r="C45">
        <v>200</v>
      </c>
      <c r="D45">
        <v>442</v>
      </c>
      <c r="E45">
        <v>50</v>
      </c>
      <c r="F45">
        <v>50</v>
      </c>
      <c r="G45">
        <v>460</v>
      </c>
      <c r="H45">
        <v>51</v>
      </c>
      <c r="I45">
        <v>85</v>
      </c>
      <c r="J45"/>
    </row>
    <row r="46" spans="1:14">
      <c r="B46" t="s">
        <v>116</v>
      </c>
      <c r="C46" s="89">
        <f>SUM(C44/C45)</f>
        <v>12.830979862239</v>
      </c>
      <c r="D46" s="89">
        <f>SUM(D44/D45)</f>
        <v>12.390002911436</v>
      </c>
      <c r="E46" s="89">
        <f>SUM(E44/E45)</f>
        <v>1.0321552428146</v>
      </c>
      <c r="F46" s="89">
        <f>SUM(F44/F45)</f>
        <v>2.0845435629682</v>
      </c>
      <c r="G46" s="89">
        <f>SUM(G44/G45)</f>
        <v>1.6545188732073</v>
      </c>
      <c r="H46" s="89">
        <f>SUM(H44/H45)</f>
        <v>3.3952475092585</v>
      </c>
      <c r="I46" s="89">
        <f>SUM(I44/I45)</f>
        <v>10.049932627405</v>
      </c>
      <c r="J46"/>
    </row>
    <row r="47" spans="1:14">
      <c r="B47" t="s">
        <v>117</v>
      </c>
      <c r="C47" s="95">
        <f>C46*3.7</f>
        <v>47.474625490284</v>
      </c>
      <c r="D47" s="95">
        <f>D46*3.7</f>
        <v>45.843010772313</v>
      </c>
      <c r="E47" s="95">
        <f>E46*3.7</f>
        <v>3.818974398414</v>
      </c>
      <c r="F47" s="95">
        <f>F46*3.7</f>
        <v>7.7128111829822</v>
      </c>
      <c r="G47" s="95">
        <f>G46*3.7</f>
        <v>6.1217198308672</v>
      </c>
      <c r="H47" s="95">
        <f>H46*3.7</f>
        <v>12.562415784257</v>
      </c>
      <c r="I47" s="95">
        <f>I46*3.7</f>
        <v>37.184750721399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