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<sst xmlns="http://schemas.openxmlformats.org/spreadsheetml/2006/main" uniqueCount="114">
  <si>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</si>
  <si>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</si>
  <si>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</si>
  <si>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</si>
  <si>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ANDERSON HANS MORI</t>
  </si>
  <si>
    <t>SERVICIO:</t>
  </si>
  <si>
    <t>CARGA CONSOLIDADA</t>
  </si>
  <si>
    <t>N° CAJAS:</t>
  </si>
  <si>
    <t>APELLIDO:</t>
  </si>
  <si>
    <t>FECHA:</t>
  </si>
  <si>
    <t>PESO:</t>
  </si>
  <si>
    <t>1.04 Tn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</si>
  <si>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</si>
  <si>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</si>
  <si>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</si>
  <si>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</si>
  <si>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</si>
  <si>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</si>
  <si>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</si>
  <si>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</si>
  <si>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</si>
  <si>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</si>
  <si>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</si>
  <si>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</si>
  <si>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</si>
  <si>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</si>
  <si>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</si>
  <si>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</si>
  <si>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</si>
  <si>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</si>
  <si>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</si>
  <si>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</si>
  <si>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</si>
  <si>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</si>
  <si>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</si>
  <si>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</si>
  <si>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</si>
  <si>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</si>
  <si>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</si>
  <si>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</si>
  <si>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</si>
  <si>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</si>
  <si>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</si>
  <si>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</si>
  <si>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</si>
  <si>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</si>
  <si>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</si>
  <si>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</si>
  <si>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</si>
  <si>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</si>
  <si>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</si>
  <si>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</si>
  <si>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</si>
  <si>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</si>
  <si>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</si>
  <si>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</si>
  <si>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</si>
  <si>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</si>
  <si>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</si>
  <si>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</si>
  <si>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</si>
  <si>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</si>
  <si>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</si>
  <si>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</si>
  <si>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</si>
  <si>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</si>
  <si>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</si>
  <si>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</si>
  <si>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</si>
  <si>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</si>
  <si>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</si>
  <si>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</si>
  <si>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</si>
  <si>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</si>
  <si>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</si>
  <si>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</si>
  <si>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</si>
  <si>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</si>
  <si>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</si>
  <si>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</si>
  <si>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</si>
  <si>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</si>
  <si>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</si>
  <si>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</si>
  <si>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ANDERSON HANS MORI 😁 un gusto saludarte!
A continuación te envío la cotización final de tu importación📋📦.
🙋‍♂️ PAGO PENDIENTE :
☑️Costo CBM: $0
☑️Impuestos: $419.14
☑️ Total: $419.14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</si>
  <si>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</si>
  <si>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</si>
  <si>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</si>
  <si>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</si>
  <si>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</si>
  <si>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</si>
  <si>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</si>
  <si>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</si>
  <si>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</si>
  <si>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</si>
  <si>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</si>
  <si>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</si>
  <si>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</si>
  <si>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</si>
  <si>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</si>
  <si>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</si>
  <si>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BOLAS ACRILICAS PARA BISUTERIA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</si>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</sst>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47434498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51948537604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2.0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4100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5540.0765229919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'2'!C31</f>
        <v>226.32305096101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4100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'2'!C40, '2'!C40*J11)</f>
        <v>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4519.1356261956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2000</v>
      </c>
      <c r="G36" s="66">
        <f>+'2'!$C$10</f>
        <v>2000</v>
      </c>
      <c r="H36" s="67"/>
      <c r="I36" s="27">
        <f>+'2'!$C$46</f>
        <v>92.270904666799</v>
      </c>
      <c r="J36" s="27">
        <f>+F36*I36</f>
        <v>184541.8093336</v>
      </c>
      <c r="K36" s="54">
        <f>I36*3.7</f>
        <v>341.40234726716</v>
      </c>
      <c r="L36" s="54"/>
    </row>
    <row r="37" spans="1:14">
      <c r="B37" s="18">
        <v>2</v>
      </c>
      <c r="C37" s="63">
        <f>+'2'!$D$6</f>
        <v>1.04</v>
      </c>
      <c r="D37" s="64"/>
      <c r="E37" s="65"/>
      <c r="F37" s="4">
        <f>+'2'!$D$45</f>
        <v/>
      </c>
      <c r="G37" s="66">
        <f>+'2'!$D$10</f>
        <v>2000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2000</v>
      </c>
      <c r="G39" s="2"/>
      <c r="H39" s="2"/>
      <c r="J39" s="28">
        <f>+SUM(J36:J38)</f>
        <v>184541.8093336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6.42" bestFit="true" customWidth="true" style="0"/>
    <col min="4" max="4" width="11.711" bestFit="true" customWidth="true" style="0"/>
  </cols>
  <sheetData>
    <row r="3" spans="1:8">
      <c r="B3" s="85" t="s">
        <v>85</v>
      </c>
      <c r="C3"/>
      <c r="D3"/>
      <c r="E3"/>
      <c r="F3"/>
      <c r="G3"/>
    </row>
    <row r="5" spans="1:8">
      <c r="B5" s="87" t="s">
        <v>86</v>
      </c>
      <c r="C5" s="86" t="s">
        <v>101</v>
      </c>
      <c r="D5" s="86" t="s">
        <v>104</v>
      </c>
    </row>
    <row r="6" spans="1:8">
      <c r="B6" t="s">
        <v>87</v>
      </c>
      <c r="C6">
        <v>0</v>
      </c>
      <c r="D6" s="91">
        <v>1.04</v>
      </c>
      <c r="G6" s="90" t="s">
        <v>102</v>
      </c>
      <c r="H6" s="90" t="s">
        <v>103</v>
      </c>
    </row>
    <row r="7" spans="1:8">
      <c r="B7" t="s">
        <v>88</v>
      </c>
      <c r="C7">
        <v>0</v>
      </c>
      <c r="D7" s="92">
        <v>1.93</v>
      </c>
      <c r="G7" s="90" t="s">
        <v>18</v>
      </c>
      <c r="H7" s="90">
        <v>375</v>
      </c>
    </row>
    <row r="8" spans="1:8">
      <c r="B8" t="s">
        <v>89</v>
      </c>
      <c r="C8" s="89">
        <v>2.05</v>
      </c>
      <c r="D8"/>
    </row>
    <row r="9" spans="1:8">
      <c r="B9" s="88" t="s">
        <v>90</v>
      </c>
      <c r="C9" s="89">
        <v>0</v>
      </c>
      <c r="D9"/>
    </row>
    <row r="10" spans="1:8">
      <c r="B10" t="s">
        <v>91</v>
      </c>
      <c r="C10">
        <v>2000</v>
      </c>
      <c r="D10">
        <f>SUM(C10:C10)</f>
        <v>2000</v>
      </c>
    </row>
    <row r="11" spans="1:8">
      <c r="B11" t="s">
        <v>92</v>
      </c>
      <c r="C11" s="89">
        <f>C8*C10</f>
        <v>4100</v>
      </c>
      <c r="D11">
        <f>SUM(C11:C11)</f>
        <v>4100</v>
      </c>
    </row>
    <row r="12" spans="1:8">
      <c r="B12" s="88" t="s">
        <v>93</v>
      </c>
      <c r="C12" s="89">
        <f>C10*C9</f>
        <v>0</v>
      </c>
      <c r="D12"/>
    </row>
    <row r="13" spans="1:8">
      <c r="B13" t="s">
        <v>94</v>
      </c>
      <c r="C13" s="93">
        <f>C11/D11</f>
        <v>636</v>
      </c>
      <c r="D13"/>
    </row>
    <row r="14" spans="1:8">
      <c r="B14" t="s">
        <v>95</v>
      </c>
      <c r="C14" s="89">
        <f>D14*C13</f>
        <v>636</v>
      </c>
      <c r="D14">
        <f>IF(D7&lt;1, H7*0.6, H7*0.6*D7)</f>
        <v>434.25</v>
      </c>
    </row>
    <row r="15" spans="1:8">
      <c r="B15" t="s">
        <v>96</v>
      </c>
      <c r="C15" s="89">
        <f>C11+C14</f>
        <v>0.67370740336642</v>
      </c>
      <c r="D15"/>
    </row>
    <row r="16" spans="1:8">
      <c r="B16" s="88" t="s">
        <v>97</v>
      </c>
      <c r="C16" s="89">
        <f>C12+C14</f>
        <v>168.07652299185</v>
      </c>
      <c r="D16"/>
    </row>
    <row r="17" spans="1:8">
      <c r="B17" t="s">
        <v>98</v>
      </c>
      <c r="C17" s="89">
        <f>IF(D11&gt;5000,100*C13,50*C13)</f>
        <v>804.07652299185</v>
      </c>
      <c r="D17"/>
    </row>
    <row r="18" spans="1:8">
      <c r="B18" t="s">
        <v>99</v>
      </c>
      <c r="C18" s="89">
        <f>C15+C17</f>
        <v>804.07652299185</v>
      </c>
      <c r="D18"/>
    </row>
    <row r="19" spans="1:8">
      <c r="B19" s="88" t="s">
        <v>100</v>
      </c>
      <c r="C19" s="89">
        <f>C16+C17</f>
        <v>33.685370168321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30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31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106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35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184122</v>
      </c>
      <c r="D40">
        <f>IF(D7&lt;1, H7*0.4,H7*0.4*D7)</f>
        <v>289.5</v>
      </c>
    </row>
    <row r="41" spans="1:8">
      <c r="B41"/>
    </row>
    <row r="43" spans="1:8">
      <c r="B43" t="s">
        <v>107</v>
      </c>
      <c r="C43" t="s">
        <v>101</v>
      </c>
      <c r="D43" t="s">
        <v>104</v>
      </c>
    </row>
    <row r="44" spans="1:8">
      <c r="B44" t="s">
        <v>108</v>
      </c>
      <c r="C44" s="89">
        <f>SUM(C15,C40,C32,(C26))</f>
        <v>184541.8093336</v>
      </c>
      <c r="D44" s="89">
        <f>SUM(C44:C44)</f>
        <v>184541.8093336</v>
      </c>
    </row>
    <row r="45" spans="1:8">
      <c r="B45" t="s">
        <v>44</v>
      </c>
      <c r="C45">
        <v>2000</v>
      </c>
      <c r="D45"/>
    </row>
    <row r="46" spans="1:8">
      <c r="B46" t="s">
        <v>109</v>
      </c>
      <c r="C46" s="89">
        <f>SUM(C44/C45)</f>
        <v>92.270904666799</v>
      </c>
      <c r="D46"/>
    </row>
    <row r="47" spans="1:8">
      <c r="B47" t="s">
        <v>110</v>
      </c>
      <c r="C47" s="95">
        <f>C46*3.7</f>
        <v>341.40234726716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