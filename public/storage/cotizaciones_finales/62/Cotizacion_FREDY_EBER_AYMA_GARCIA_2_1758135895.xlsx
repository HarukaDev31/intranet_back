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<sst xmlns="http://schemas.openxmlformats.org/spreadsheetml/2006/main" uniqueCount="118">
  <si>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</si>
  <si>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</si>
  <si>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</si>
  <si>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</si>
  <si>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FREDY EBER AYMA GARCIA 2</t>
  </si>
  <si>
    <t>SERVICIO:</t>
  </si>
  <si>
    <t>CARGA CONSOLIDADA</t>
  </si>
  <si>
    <t>N° CAJAS:</t>
  </si>
  <si>
    <t>APELLIDO:</t>
  </si>
  <si>
    <t>FECHA:</t>
  </si>
  <si>
    <t>PESO:</t>
  </si>
  <si>
    <t>356.66 Kg</t>
  </si>
  <si>
    <t>DNI/RUC:</t>
  </si>
  <si>
    <t>ORIGEN:</t>
  </si>
  <si>
    <t>CHINA</t>
  </si>
  <si>
    <t>MEDIDA:</t>
  </si>
  <si>
    <t>TELEFONO:</t>
  </si>
  <si>
    <t>51 958761250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</si>
  <si>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</si>
  <si>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</si>
  <si>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</si>
  <si>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</si>
  <si>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</si>
  <si>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</si>
  <si>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</si>
  <si>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</si>
  <si>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</si>
  <si>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</si>
  <si>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</si>
  <si>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</si>
  <si>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</si>
  <si>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</si>
  <si>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</si>
  <si>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</si>
  <si>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</si>
  <si>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</si>
  <si>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</si>
  <si>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</si>
  <si>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</si>
  <si>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</si>
  <si>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</si>
  <si>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</si>
  <si>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</si>
  <si>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</si>
  <si>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</si>
  <si>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</si>
  <si>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</si>
  <si>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</si>
  <si>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</si>
  <si>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CABLE DE IMPRESORA</t>
  </si>
  <si>
    <t>ALMOHADILLA DE ESPONJA DE TINTA L4160</t>
  </si>
  <si>
    <t>ALMOHADILLA DE ESPONJA DE TINTA G3110</t>
  </si>
  <si>
    <t>FUENTE DE ALIMENTACION PARA IMPRESORA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</si>
  <si>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</si>
  <si>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</si>
  <si>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</si>
  <si>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</si>
  <si>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</si>
  <si>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</si>
  <si>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</si>
  <si>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</si>
  <si>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</si>
  <si>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</si>
  <si>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</si>
  <si>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</si>
  <si>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</si>
  <si>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</si>
  <si>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</si>
  <si>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</si>
  <si>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</si>
  <si>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</si>
  <si>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</si>
  <si>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</si>
  <si>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</si>
  <si>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</si>
  <si>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</si>
  <si>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</si>
  <si>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</si>
  <si>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</si>
  <si>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</si>
  <si>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</si>
  <si>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</si>
  <si>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</si>
  <si>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</si>
  <si>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</si>
  <si>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</si>
  <si>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</si>
  <si>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</si>
  <si>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</si>
  <si>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FREDY EBER AYMA GARCIA 2 😁 un gusto saludarte!
A continuación te envío la cotización final de tu importación📋📦.
🙋‍♂️ PAGO PENDIENTE :
☑️Costo CBM: $957
☑️Impuestos: $598.72
☑️ Total: $1555.72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</si>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</sst>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8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10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0" fillId="2" borderId="10" applyFont="1" applyNumberFormat="1" applyFill="1" applyBorder="1" applyAlignment="1">
      <alignment horizontal="center" vertical="bottom" textRotation="0" wrapText="false" shrinkToFit="false"/>
    </xf>
    <xf xfId="0" fontId="18" numFmtId="173" fillId="2" borderId="11" applyFont="1" applyNumberFormat="1" applyFill="1" applyBorder="1" applyAlignment="1">
      <alignment horizontal="center" vertical="bottom" textRotation="0" wrapText="false" shrinkToFit="false"/>
    </xf>
    <xf xfId="0" fontId="19" numFmtId="172" fillId="3" borderId="1" applyFont="1" applyNumberFormat="1" applyFill="1" applyBorder="1" applyAlignment="1">
      <alignment horizontal="center" vertical="bottom" textRotation="0" wrapText="false" shrinkToFit="false"/>
    </xf>
    <xf xfId="0" fontId="19" numFmtId="172" fillId="3" borderId="10" applyFont="1" applyNumberFormat="1" applyFill="1" applyBorder="1" applyAlignment="1">
      <alignment horizontal="center" vertical="bottom" textRotation="0" wrapText="false" shrinkToFit="false"/>
    </xf>
    <xf xfId="0" fontId="18" numFmtId="0" fillId="2" borderId="0" applyFont="1" applyNumberFormat="0" applyFill="1" applyBorder="0" applyAlignment="1">
      <alignment horizontal="center" vertical="bottom" textRotation="0" wrapText="false" shrinkToFit="false"/>
    </xf>
    <xf xfId="0" fontId="18" numFmtId="170" fillId="2" borderId="0" applyFont="1" applyNumberFormat="1" applyFill="1" applyBorder="0" applyAlignment="1">
      <alignment horizontal="center" vertical="bottom" textRotation="0" wrapText="false" shrinkToFit="false"/>
    </xf>
    <xf xfId="0" fontId="18" numFmtId="170" fillId="0" borderId="0" applyFont="1" applyNumberFormat="1" applyFill="0" applyBorder="0" applyAlignment="1">
      <alignment horizontal="center" vertical="bottom" textRotation="0" wrapText="false" shrinkToFit="false"/>
    </xf>
    <xf xfId="0" fontId="18" numFmtId="170" fillId="2" borderId="7" applyFont="1" applyNumberFormat="1" applyFill="1" applyBorder="1" applyAlignment="1">
      <alignment horizontal="center" vertical="bottom" textRotation="0" wrapText="false" shrinkToFit="false"/>
    </xf>
    <xf xfId="0" fontId="19" numFmtId="172" fillId="3" borderId="0" applyFont="1" applyNumberFormat="1" applyFill="1" applyBorder="0" applyAlignment="1">
      <alignment horizontal="center" vertical="bottom" textRotation="0" wrapText="false" shrinkToFit="false"/>
    </xf>
    <xf xfId="0" fontId="5" numFmtId="170" fillId="2" borderId="0" applyFont="1" applyNumberFormat="1" applyFill="1" applyBorder="0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40" sqref="B40:L40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4" customHeight="1" ht="18">
      <c r="B2" s="41"/>
      <c r="C2" s="41"/>
      <c r="E2" s="46"/>
      <c r="F2" s="46"/>
      <c r="G2" s="46"/>
      <c r="H2" s="46"/>
      <c r="I2" s="46"/>
      <c r="J2" s="46"/>
      <c r="K2" s="46"/>
      <c r="L2" s="46"/>
    </row>
    <row r="3" spans="1:14" customHeight="1" ht="25.8">
      <c r="B3" s="41"/>
      <c r="C3" s="41"/>
      <c r="E3" s="57" t="s">
        <v>0</v>
      </c>
      <c r="F3" s="57"/>
      <c r="G3" s="57"/>
      <c r="H3" s="57"/>
      <c r="I3" s="57"/>
      <c r="J3" s="57"/>
    </row>
    <row r="4" spans="1:14" customHeight="1" ht="25.8">
      <c r="B4" s="41"/>
      <c r="C4" s="41"/>
      <c r="E4" s="58" t="s">
        <v>1</v>
      </c>
      <c r="F4" s="58"/>
      <c r="G4" s="58"/>
      <c r="H4" s="58"/>
      <c r="I4" s="58"/>
      <c r="J4" s="58"/>
      <c r="K4" s="11"/>
    </row>
    <row r="5" spans="1:14">
      <c r="B5" s="41"/>
      <c r="C5" s="41"/>
      <c r="D5" s="39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43" t="s">
        <v>2</v>
      </c>
      <c r="F7" s="43"/>
      <c r="G7" s="43"/>
      <c r="I7" s="41"/>
      <c r="J7" s="41"/>
      <c r="K7" s="41"/>
      <c r="L7" s="41"/>
    </row>
    <row r="8" spans="1:14">
      <c r="B8" s="6" t="s">
        <v>3</v>
      </c>
      <c r="C8" s="89" t="s">
        <v>4</v>
      </c>
      <c r="D8" s="37"/>
      <c r="E8" s="21" t="s">
        <v>5</v>
      </c>
      <c r="F8" s="48" t="s">
        <v>6</v>
      </c>
      <c r="G8" s="49"/>
      <c r="H8" s="36"/>
      <c r="I8" s="1" t="s">
        <v>7</v>
      </c>
      <c r="J8" s="65">
        <f>+'2'!F7</f>
        <v>0</v>
      </c>
      <c r="K8" s="65"/>
      <c r="L8" s="65"/>
    </row>
    <row r="9" spans="1:14">
      <c r="B9" s="6" t="s">
        <v>8</v>
      </c>
      <c r="C9" s="15"/>
      <c r="D9" s="37"/>
      <c r="E9" s="22" t="s">
        <v>9</v>
      </c>
      <c r="F9" s="44">
        <f>+TODAY()</f>
        <v>45917</v>
      </c>
      <c r="G9" s="45"/>
      <c r="H9" s="36"/>
      <c r="I9" s="1" t="s">
        <v>10</v>
      </c>
      <c r="J9" s="90" t="s">
        <v>11</v>
      </c>
      <c r="K9" s="42"/>
      <c r="L9" s="42"/>
    </row>
    <row r="10" spans="1:14">
      <c r="B10" s="6" t="s">
        <v>12</v>
      </c>
      <c r="C10" s="15">
        <v>46888785</v>
      </c>
      <c r="D10" s="37"/>
      <c r="E10" s="26" t="s">
        <v>13</v>
      </c>
      <c r="F10" s="46" t="s">
        <v>14</v>
      </c>
      <c r="G10" s="47"/>
      <c r="H10" s="36"/>
      <c r="I10" s="1" t="s">
        <v>15</v>
      </c>
      <c r="J10" s="66">
        <v>0</v>
      </c>
      <c r="K10" s="66"/>
      <c r="L10" s="66"/>
    </row>
    <row r="11" spans="1:14">
      <c r="B11" s="6" t="s">
        <v>16</v>
      </c>
      <c r="C11" s="16" t="s">
        <v>17</v>
      </c>
      <c r="D11" s="38"/>
      <c r="E11" s="23" t="s">
        <v>18</v>
      </c>
      <c r="F11" s="51" t="s">
        <v>19</v>
      </c>
      <c r="G11" s="68"/>
      <c r="H11" s="36"/>
      <c r="I11" s="1" t="s">
        <v>20</v>
      </c>
      <c r="J11" s="91">
        <f>'2'!F7</f>
        <v>0</v>
      </c>
      <c r="K11" s="77"/>
      <c r="L11" s="77"/>
    </row>
    <row r="12" spans="1:14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4">
      <c r="B13" s="69" t="s">
        <v>21</v>
      </c>
      <c r="C13" s="69"/>
      <c r="D13" s="69"/>
      <c r="E13" s="69"/>
      <c r="F13" s="69"/>
      <c r="G13" s="69"/>
      <c r="H13" s="69"/>
      <c r="I13" s="69"/>
      <c r="J13" s="69"/>
      <c r="K13" s="8" t="s">
        <v>22</v>
      </c>
      <c r="L13" s="8" t="s">
        <v>23</v>
      </c>
    </row>
    <row r="14" spans="1:14">
      <c r="B14" s="70" t="s">
        <v>24</v>
      </c>
      <c r="C14" s="70"/>
      <c r="D14" s="70"/>
      <c r="E14" s="70"/>
      <c r="F14" s="70"/>
      <c r="G14" s="70"/>
      <c r="H14" s="70"/>
      <c r="I14" s="70"/>
      <c r="J14" s="70"/>
      <c r="K14" s="13">
        <f>'2'!F11</f>
        <v>2000</v>
      </c>
      <c r="L14" s="7" t="s">
        <v>25</v>
      </c>
    </row>
    <row r="15" spans="1:14">
      <c r="B15" s="71" t="s">
        <v>26</v>
      </c>
      <c r="C15" s="71"/>
      <c r="D15" s="71"/>
      <c r="E15" s="71"/>
      <c r="F15" s="71"/>
      <c r="G15" s="71"/>
      <c r="H15" s="71"/>
      <c r="I15" s="71"/>
      <c r="J15" s="71"/>
      <c r="K15" s="14">
        <f>'2'!F14 + '2'!F17</f>
        <v>242.04405286344</v>
      </c>
      <c r="L15" s="10" t="s">
        <v>25</v>
      </c>
    </row>
    <row r="16" spans="1:14">
      <c r="B16" s="54" t="s">
        <v>27</v>
      </c>
      <c r="C16" s="54"/>
      <c r="D16" s="54"/>
      <c r="E16" s="54"/>
      <c r="F16" s="54"/>
      <c r="G16" s="54"/>
      <c r="H16" s="54"/>
      <c r="I16" s="54"/>
      <c r="J16" s="54"/>
      <c r="K16" s="13">
        <f>SUM(K14:K15)</f>
        <v>2242.0440528634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2" t="s">
        <v>28</v>
      </c>
      <c r="C19" s="72"/>
      <c r="D19" s="72"/>
      <c r="E19" s="72"/>
      <c r="F19" s="72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2" t="s">
        <v>30</v>
      </c>
      <c r="C20" s="52"/>
      <c r="D20" s="52"/>
      <c r="E20" s="52"/>
      <c r="F20" s="52"/>
      <c r="G20" s="52"/>
      <c r="H20" s="52"/>
      <c r="I20" s="52"/>
      <c r="J20" s="19">
        <f>MAX('2'!C26:E26)</f>
        <v>0</v>
      </c>
      <c r="K20" s="13">
        <f>'2'!F28</f>
        <v>0</v>
      </c>
      <c r="L20" s="7" t="s">
        <v>25</v>
      </c>
      <c r="N20" t="s">
        <v>89</v>
      </c>
    </row>
    <row r="21" spans="1:14">
      <c r="B21" s="52" t="s">
        <v>31</v>
      </c>
      <c r="C21" s="52"/>
      <c r="D21" s="52"/>
      <c r="E21" s="52"/>
      <c r="F21" s="52"/>
      <c r="G21" s="52"/>
      <c r="H21" s="52"/>
      <c r="I21" s="52"/>
      <c r="J21" s="19">
        <v>0.16</v>
      </c>
      <c r="K21" s="13">
        <f>'2'!F29</f>
        <v>358.72704845815</v>
      </c>
      <c r="L21" s="7" t="s">
        <v>25</v>
      </c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9">
        <v>0.02</v>
      </c>
      <c r="K22" s="13">
        <f>'2'!F30</f>
        <v>44.840881057269</v>
      </c>
      <c r="L22" s="7" t="s">
        <v>25</v>
      </c>
    </row>
    <row r="23" spans="1:14">
      <c r="B23" s="54" t="s">
        <v>33</v>
      </c>
      <c r="C23" s="54"/>
      <c r="D23" s="54"/>
      <c r="E23" s="54"/>
      <c r="F23" s="54"/>
      <c r="G23" s="54"/>
      <c r="H23" s="54"/>
      <c r="I23" s="54"/>
      <c r="J23" s="29"/>
      <c r="K23" s="30">
        <f>SUM(K20:K22)</f>
        <v>403.56792951542</v>
      </c>
      <c r="L23" s="29" t="s">
        <v>25</v>
      </c>
    </row>
    <row r="24" spans="1:14">
      <c r="B24" s="52"/>
      <c r="C24" s="52"/>
      <c r="D24" s="52"/>
      <c r="E24" s="52"/>
      <c r="F24" s="52"/>
      <c r="G24" s="52"/>
      <c r="H24" s="52"/>
      <c r="I24" s="52"/>
      <c r="J24" s="2"/>
      <c r="K24" s="9"/>
      <c r="L24" s="7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20" t="s">
        <v>35</v>
      </c>
      <c r="K25" s="14">
        <f>'2'!F31</f>
        <v>92.59641938326</v>
      </c>
      <c r="L25" s="10" t="s">
        <v>25</v>
      </c>
    </row>
    <row r="26" spans="1:14">
      <c r="B26" s="54" t="s">
        <v>36</v>
      </c>
      <c r="C26" s="54"/>
      <c r="D26" s="54"/>
      <c r="E26" s="54"/>
      <c r="F26" s="54"/>
      <c r="G26" s="54"/>
      <c r="H26" s="54"/>
      <c r="I26" s="54"/>
      <c r="K26" s="13">
        <f>K23+K25</f>
        <v>496.16434889868</v>
      </c>
      <c r="L26" s="7" t="s">
        <v>25</v>
      </c>
    </row>
    <row r="27" spans="1:14">
      <c r="B27" s="46"/>
      <c r="C27" s="46"/>
      <c r="D27" s="46"/>
      <c r="E27" s="46"/>
      <c r="F27" s="46"/>
      <c r="G27" s="46"/>
      <c r="H27" s="46"/>
      <c r="I27" s="46"/>
    </row>
    <row r="28" spans="1:14" customHeight="1" ht="15.6">
      <c r="B28" s="55" t="s">
        <v>37</v>
      </c>
      <c r="C28" s="55"/>
      <c r="D28" s="55"/>
      <c r="E28" s="55"/>
      <c r="F28" s="55"/>
      <c r="G28" s="55"/>
      <c r="H28" s="55"/>
      <c r="I28" s="55"/>
      <c r="J28" s="55"/>
      <c r="K28" s="27" t="s">
        <v>22</v>
      </c>
      <c r="L28" s="27" t="s">
        <v>23</v>
      </c>
    </row>
    <row r="29" spans="1:14">
      <c r="B29" s="52" t="s">
        <v>38</v>
      </c>
      <c r="C29" s="52"/>
      <c r="D29" s="52"/>
      <c r="E29" s="52"/>
      <c r="F29" s="52"/>
      <c r="G29" s="52"/>
      <c r="H29" s="52"/>
      <c r="I29" s="52"/>
      <c r="J29" s="52"/>
      <c r="K29" s="13">
        <f>K14</f>
        <v>2000</v>
      </c>
      <c r="L29" s="7" t="s">
        <v>25</v>
      </c>
    </row>
    <row r="30" spans="1:14">
      <c r="B30" s="52" t="s">
        <v>39</v>
      </c>
      <c r="C30" s="52"/>
      <c r="D30" s="52"/>
      <c r="E30" s="52"/>
      <c r="F30" s="52"/>
      <c r="G30" s="52"/>
      <c r="H30" s="52"/>
      <c r="I30" s="52"/>
      <c r="J30" s="52"/>
      <c r="K30" s="13">
        <f>IF(J11&lt;1, 300, 300*J11)</f>
        <v>300</v>
      </c>
      <c r="L30" s="7" t="s">
        <v>25</v>
      </c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4">
        <f>K20+K21+K22+K25</f>
        <v>496.16434889868</v>
      </c>
      <c r="L31" s="10" t="s">
        <v>25</v>
      </c>
    </row>
    <row r="32" spans="1:14">
      <c r="B32" s="54" t="s">
        <v>41</v>
      </c>
      <c r="C32" s="54"/>
      <c r="D32" s="54"/>
      <c r="E32" s="54"/>
      <c r="F32" s="54"/>
      <c r="G32" s="54"/>
      <c r="H32" s="54"/>
      <c r="I32" s="54"/>
      <c r="J32" s="54"/>
      <c r="K32" s="13">
        <f>K29+K30+K31</f>
        <v>2796.1643488987</v>
      </c>
      <c r="L32" s="7" t="s">
        <v>25</v>
      </c>
    </row>
    <row r="33" spans="1:14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</row>
    <row r="34" spans="1:14">
      <c r="B34" s="62" t="s">
        <v>42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4">
      <c r="B35" s="18" t="s">
        <v>43</v>
      </c>
      <c r="C35" s="59" t="s">
        <v>44</v>
      </c>
      <c r="D35" s="60"/>
      <c r="E35" s="61"/>
      <c r="F35" s="4" t="s">
        <v>45</v>
      </c>
      <c r="G35" s="59" t="s">
        <v>46</v>
      </c>
      <c r="H35" s="61"/>
      <c r="I35" s="3" t="s">
        <v>47</v>
      </c>
      <c r="J35" s="25" t="s">
        <v>36</v>
      </c>
      <c r="K35" s="50" t="s">
        <v>48</v>
      </c>
      <c r="L35" s="50"/>
    </row>
    <row r="36" spans="1:14">
      <c r="A36" s="1"/>
      <c r="B36" s="92">
        <v>1</v>
      </c>
      <c r="C36" s="93" t="s">
        <v>49</v>
      </c>
      <c r="D36" s="94"/>
      <c r="E36" s="95"/>
      <c r="F36" s="92">
        <f>'2'!C10</f>
        <v>500</v>
      </c>
      <c r="G36" s="96">
        <f>'2'!C8</f>
        <v>2.8</v>
      </c>
      <c r="H36" s="97"/>
      <c r="I36" s="96">
        <f>'2'!C46</f>
        <v>3.9771675333921</v>
      </c>
      <c r="J36" s="96">
        <f>'2'!C44</f>
        <v>1988.583766696</v>
      </c>
      <c r="K36" s="98">
        <f>'2'!C47</f>
        <v>14.715519873551</v>
      </c>
      <c r="L36" s="50"/>
    </row>
    <row r="37" spans="1:14">
      <c r="A37" s="1"/>
      <c r="B37" s="92">
        <v>2</v>
      </c>
      <c r="C37" s="93" t="s">
        <v>50</v>
      </c>
      <c r="D37" s="94"/>
      <c r="E37" s="95"/>
      <c r="F37" s="92">
        <f>'2'!D10</f>
        <v>5000</v>
      </c>
      <c r="G37" s="96">
        <f>'2'!D8</f>
        <v>0.35</v>
      </c>
      <c r="H37" s="97"/>
      <c r="I37" s="96">
        <f>'2'!D46</f>
        <v>0.49714594167401</v>
      </c>
      <c r="J37" s="96">
        <f>'2'!D44</f>
        <v>2485.72970837</v>
      </c>
      <c r="K37" s="98">
        <f>'2'!D47</f>
        <v>1.8394399841938</v>
      </c>
      <c r="L37" s="50"/>
    </row>
    <row r="38" spans="1:14">
      <c r="A38" s="1"/>
      <c r="B38" s="92">
        <v>3</v>
      </c>
      <c r="C38" s="93" t="s">
        <v>51</v>
      </c>
      <c r="D38" s="94"/>
      <c r="E38" s="95"/>
      <c r="F38" s="92">
        <f>'2'!E10</f>
        <v>1300</v>
      </c>
      <c r="G38" s="96">
        <f>'2'!E8</f>
        <v>0.40384615384615</v>
      </c>
      <c r="H38" s="97"/>
      <c r="I38" s="96">
        <f>'2'!E46</f>
        <v>0.57362993270077</v>
      </c>
      <c r="J38" s="96">
        <f>'2'!E44</f>
        <v>745.71891251101</v>
      </c>
      <c r="K38" s="99">
        <f>'2'!E47</f>
        <v>2.1224307509929</v>
      </c>
      <c r="L38" s="76"/>
    </row>
    <row r="39" spans="1:14" customHeight="1" ht="15.6">
      <c r="A39"/>
      <c r="B39" s="100">
        <v>4</v>
      </c>
      <c r="C39" s="100" t="s">
        <v>52</v>
      </c>
      <c r="D39" s="100"/>
      <c r="E39" s="100"/>
      <c r="F39" s="100">
        <f>'2'!F10</f>
        <v>500</v>
      </c>
      <c r="G39" s="101">
        <f>'2'!F8</f>
        <v>4</v>
      </c>
      <c r="H39" s="100"/>
      <c r="I39" s="102">
        <f>'2'!F46</f>
        <v>5.6816679048458</v>
      </c>
      <c r="J39" s="103">
        <f>'2'!F44</f>
        <v>2840.8339524229</v>
      </c>
      <c r="K39" s="104">
        <f>'2'!F47</f>
        <v>21.02217124793</v>
      </c>
      <c r="L39" s="32"/>
    </row>
    <row r="40" spans="1:14" customHeight="1" ht="15.6">
      <c r="B40" s="12" t="s">
        <v>36</v>
      </c>
      <c r="C40" s="2"/>
      <c r="D40" s="2"/>
      <c r="E40" s="2"/>
      <c r="F40" s="12">
        <f>SUM(F36:F39)</f>
        <v>7300</v>
      </c>
      <c r="G40" s="2"/>
      <c r="H40" s="2"/>
      <c r="I40"/>
      <c r="J40" s="105">
        <f>SUM(J36:J39)</f>
        <v>8060.86634</v>
      </c>
      <c r="K40" s="31"/>
      <c r="L40" s="10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3"/>
      <c r="L41" s="34"/>
    </row>
    <row r="42" spans="1:14" customHeight="1" ht="18">
      <c r="B42" s="28" t="s">
        <v>53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67" t="s">
        <v>54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</row>
    <row r="44" spans="1:14" customHeight="1" ht="18">
      <c r="B44" s="67" t="s">
        <v>55</v>
      </c>
      <c r="C44" s="67"/>
      <c r="D44" s="67"/>
      <c r="E44" s="67"/>
      <c r="F44" s="67"/>
      <c r="G44" s="67"/>
      <c r="H44" s="67"/>
      <c r="I44" s="67"/>
      <c r="J44" s="67"/>
      <c r="K44" s="67"/>
      <c r="L44" s="67"/>
    </row>
    <row r="45" spans="1:14" customHeight="1" ht="18">
      <c r="B45" s="67" t="s">
        <v>56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1:14" customHeight="1" ht="18">
      <c r="B46" s="67" t="s">
        <v>57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</row>
    <row r="47" spans="1:14" customHeight="1" ht="18">
      <c r="B47" s="67" t="s">
        <v>58</v>
      </c>
      <c r="C47" s="67"/>
      <c r="D47" s="67"/>
      <c r="E47" s="67"/>
      <c r="F47" s="67"/>
      <c r="G47" s="67"/>
      <c r="H47" s="67"/>
      <c r="I47" s="67"/>
      <c r="J47" s="67"/>
      <c r="K47" s="67"/>
      <c r="L47" s="67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1"/>
      <c r="C49" s="41"/>
      <c r="E49" s="41"/>
      <c r="F49" s="41"/>
      <c r="G49" s="41"/>
      <c r="H49" s="41"/>
      <c r="I49" s="41"/>
      <c r="J49" s="41"/>
      <c r="K49" s="41"/>
      <c r="L49" s="41"/>
      <c r="M49" s="41"/>
    </row>
    <row r="50" spans="1:14" customHeight="1" ht="31.8">
      <c r="B50" s="41"/>
      <c r="C50" s="41"/>
      <c r="D50" s="40" t="s">
        <v>0</v>
      </c>
      <c r="E50" s="40"/>
      <c r="F50" s="40"/>
      <c r="G50" s="40"/>
      <c r="H50" s="40"/>
      <c r="I50" s="40"/>
      <c r="J50" s="40"/>
      <c r="K50" s="40"/>
      <c r="L50" s="40"/>
      <c r="M50" s="40"/>
    </row>
    <row r="51" spans="1:14" customHeight="1" ht="21">
      <c r="B51" s="41"/>
      <c r="C51" s="41"/>
      <c r="D51" s="56" t="s">
        <v>59</v>
      </c>
      <c r="E51" s="56"/>
      <c r="F51" s="56"/>
      <c r="G51" s="56"/>
      <c r="H51" s="56"/>
      <c r="I51" s="56"/>
    </row>
    <row r="52" spans="1:14">
      <c r="B52" s="41"/>
      <c r="C52" s="41"/>
    </row>
    <row r="53" spans="1:14">
      <c r="B53" s="41"/>
      <c r="C53" s="41"/>
    </row>
    <row r="54" spans="1:14" customHeight="1" ht="21">
      <c r="B54" s="73" t="s">
        <v>60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</row>
    <row r="56" spans="1:14">
      <c r="B56" s="74" t="s">
        <v>61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spans="1:14">
      <c r="B57" s="74" t="s">
        <v>62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4">
      <c r="B58" s="52" t="s">
        <v>63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</row>
    <row r="59" spans="1:14">
      <c r="B59" s="74" t="s">
        <v>64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4">
      <c r="B60" s="74" t="s">
        <v>65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1:14">
      <c r="B61" s="52" t="s">
        <v>66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4">
      <c r="B62" s="74" t="s">
        <v>67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</row>
    <row r="63" spans="1:14">
      <c r="B63" s="74" t="s">
        <v>68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</row>
    <row r="64" spans="1:14">
      <c r="B64" s="74" t="s">
        <v>69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</row>
    <row r="65" spans="1:14">
      <c r="B65" s="74" t="s">
        <v>70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</row>
    <row r="66" spans="1:14">
      <c r="B66" s="74" t="s">
        <v>71</v>
      </c>
      <c r="C66" s="74"/>
      <c r="D66" s="74"/>
      <c r="E66" s="74"/>
      <c r="F66" s="74"/>
      <c r="G66" s="74"/>
      <c r="H66" s="74"/>
      <c r="I66" s="74"/>
      <c r="J66" s="74"/>
      <c r="K66" s="74"/>
      <c r="L66" s="74"/>
    </row>
    <row r="67" spans="1:14">
      <c r="B67" s="74" t="s">
        <v>72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</row>
    <row r="68" spans="1:14">
      <c r="B68" s="74" t="s">
        <v>73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1:14">
      <c r="B69" s="74" t="s">
        <v>74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1:14">
      <c r="B70" s="74" t="s">
        <v>75</v>
      </c>
      <c r="C70" s="74"/>
      <c r="D70" s="74"/>
      <c r="E70" s="74"/>
      <c r="F70" s="74"/>
      <c r="G70" s="74"/>
      <c r="H70" s="74"/>
      <c r="I70" s="74"/>
      <c r="J70" s="74"/>
      <c r="K70" s="74"/>
      <c r="L70" s="74"/>
    </row>
    <row r="71" spans="1:14">
      <c r="B71" s="74" t="s">
        <v>76</v>
      </c>
      <c r="C71" s="74"/>
      <c r="D71" s="74"/>
      <c r="E71" s="74"/>
      <c r="F71" s="74"/>
      <c r="G71" s="74"/>
      <c r="H71" s="74"/>
      <c r="I71" s="74"/>
      <c r="J71" s="74"/>
      <c r="K71" s="74"/>
      <c r="L71" s="74"/>
    </row>
    <row r="72" spans="1:14">
      <c r="B72" s="74" t="s">
        <v>77</v>
      </c>
      <c r="C72" s="74"/>
      <c r="D72" s="74"/>
      <c r="E72" s="74"/>
      <c r="F72" s="74"/>
      <c r="G72" s="74"/>
      <c r="H72" s="74"/>
      <c r="I72" s="74"/>
      <c r="J72" s="74"/>
      <c r="K72" s="74"/>
      <c r="L72" s="74"/>
    </row>
    <row r="73" spans="1:14">
      <c r="B73" s="70" t="s">
        <v>78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</row>
    <row r="74" spans="1:14">
      <c r="B74" s="74" t="s">
        <v>79</v>
      </c>
      <c r="C74" s="74"/>
      <c r="D74" s="74"/>
      <c r="E74" s="74"/>
      <c r="F74" s="74"/>
      <c r="G74" s="74"/>
      <c r="H74" s="74"/>
      <c r="I74" s="74"/>
      <c r="J74" s="74"/>
      <c r="K74" s="74"/>
      <c r="L74" s="74"/>
    </row>
    <row r="75" spans="1:14">
      <c r="B75" s="70" t="s">
        <v>80</v>
      </c>
      <c r="C75" s="70"/>
      <c r="D75" s="70"/>
      <c r="E75" s="70"/>
      <c r="F75" s="70"/>
      <c r="G75" s="70"/>
      <c r="H75" s="70"/>
      <c r="I75" s="70"/>
      <c r="J75" s="70"/>
      <c r="K75" s="70"/>
      <c r="L75" s="70"/>
    </row>
    <row r="76" spans="1:14">
      <c r="B76" s="74" t="s">
        <v>81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</row>
    <row r="77" spans="1:14">
      <c r="B77" s="74" t="s">
        <v>82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1:14">
      <c r="B78" s="74" t="s">
        <v>83</v>
      </c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1:14">
      <c r="B79" s="74" t="s">
        <v>84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1:14">
      <c r="B80" s="74" t="s">
        <v>85</v>
      </c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1:14">
      <c r="A81" s="35"/>
      <c r="B81" s="75" t="s">
        <v>86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</row>
    <row r="82" spans="1:14">
      <c r="A82" s="35"/>
      <c r="B82" s="74" t="s">
        <v>87</v>
      </c>
      <c r="C82" s="74"/>
      <c r="D82" s="74"/>
      <c r="E82" s="74"/>
      <c r="F82" s="74"/>
      <c r="G82" s="74"/>
      <c r="H82" s="74"/>
      <c r="I82" s="74"/>
      <c r="J82" s="74"/>
      <c r="K82" s="74"/>
      <c r="L82" s="74"/>
    </row>
    <row r="83" spans="1:14">
      <c r="A83" s="35"/>
      <c r="B83" s="75" t="s">
        <v>88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>
      <c r="C90" s="41"/>
      <c r="D90" s="41"/>
      <c r="E90" s="41"/>
      <c r="F90" s="41"/>
      <c r="G90" s="41"/>
      <c r="H90" s="41"/>
      <c r="I90" s="41"/>
    </row>
    <row r="91" spans="1:14">
      <c r="C91" s="41"/>
      <c r="D91" s="41"/>
      <c r="E91" s="41"/>
      <c r="F91" s="41"/>
      <c r="G91" s="41"/>
      <c r="H91" s="41"/>
      <c r="I91" s="41"/>
    </row>
    <row r="92" spans="1:14" customHeight="1" ht="15.6">
      <c r="C92" s="41"/>
      <c r="D92" s="41"/>
      <c r="E92" s="41"/>
      <c r="F92" s="41"/>
      <c r="G92" s="41"/>
      <c r="H92" s="41"/>
      <c r="I92" s="41"/>
    </row>
    <row r="93" spans="1:14" customHeight="1" ht="15.6">
      <c r="C93" s="41"/>
      <c r="D93" s="41"/>
      <c r="E93" s="41"/>
      <c r="F93" s="41"/>
      <c r="G93" s="41"/>
      <c r="H93" s="41"/>
      <c r="I93" s="41"/>
    </row>
    <row r="94" spans="1:14">
      <c r="C94" s="41"/>
      <c r="D94" s="41"/>
      <c r="E94" s="41"/>
      <c r="F94" s="41"/>
      <c r="G94" s="41"/>
      <c r="H94" s="41"/>
      <c r="I94" s="41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22.28" bestFit="true" customWidth="true" style="0"/>
    <col min="4" max="4" width="44.703" bestFit="true" customWidth="true" style="0"/>
    <col min="5" max="5" width="44.703" bestFit="true" customWidth="true" style="0"/>
    <col min="6" max="6" width="44.703" bestFit="true" customWidth="true" style="0"/>
    <col min="7" max="7" width="11.711" bestFit="true" customWidth="true" style="0"/>
  </cols>
  <sheetData>
    <row r="3" spans="1:11">
      <c r="B3" s="78" t="s">
        <v>90</v>
      </c>
      <c r="C3"/>
      <c r="D3"/>
      <c r="E3"/>
      <c r="F3"/>
      <c r="G3"/>
    </row>
    <row r="5" spans="1:11">
      <c r="B5" s="80" t="s">
        <v>91</v>
      </c>
      <c r="C5" s="79" t="s">
        <v>49</v>
      </c>
      <c r="D5" s="79" t="s">
        <v>50</v>
      </c>
      <c r="E5" s="79" t="s">
        <v>51</v>
      </c>
      <c r="F5" s="79" t="s">
        <v>52</v>
      </c>
      <c r="G5" s="79" t="s">
        <v>108</v>
      </c>
    </row>
    <row r="6" spans="1:11">
      <c r="B6" t="s">
        <v>92</v>
      </c>
      <c r="C6">
        <v>0</v>
      </c>
      <c r="D6">
        <v>0</v>
      </c>
      <c r="E6">
        <v>0</v>
      </c>
      <c r="F6">
        <v>0</v>
      </c>
      <c r="G6" s="84">
        <v>356.66</v>
      </c>
      <c r="J6" s="83" t="s">
        <v>106</v>
      </c>
      <c r="K6" s="83" t="s">
        <v>107</v>
      </c>
    </row>
    <row r="7" spans="1:11">
      <c r="B7" t="s">
        <v>93</v>
      </c>
      <c r="C7">
        <v>0</v>
      </c>
      <c r="D7">
        <v>0</v>
      </c>
      <c r="E7">
        <v>0</v>
      </c>
      <c r="F7">
        <v>0</v>
      </c>
      <c r="G7" s="85">
        <v>3.26</v>
      </c>
      <c r="J7" s="83" t="s">
        <v>19</v>
      </c>
      <c r="K7" s="83">
        <v>300</v>
      </c>
    </row>
    <row r="8" spans="1:11">
      <c r="B8" t="s">
        <v>94</v>
      </c>
      <c r="C8" s="82">
        <v>2.8</v>
      </c>
      <c r="D8" s="82">
        <v>0.35</v>
      </c>
      <c r="E8" s="82">
        <v>0.40384615384615</v>
      </c>
      <c r="F8" s="82">
        <v>4</v>
      </c>
      <c r="G8"/>
    </row>
    <row r="9" spans="1:11">
      <c r="B9" s="81" t="s">
        <v>95</v>
      </c>
      <c r="C9" s="82">
        <v>0</v>
      </c>
      <c r="D9" s="82">
        <v>0</v>
      </c>
      <c r="E9" s="82">
        <v>0</v>
      </c>
      <c r="F9" s="82">
        <v>0</v>
      </c>
      <c r="G9"/>
    </row>
    <row r="10" spans="1:11">
      <c r="B10" t="s">
        <v>96</v>
      </c>
      <c r="C10">
        <v>500</v>
      </c>
      <c r="D10">
        <v>5000</v>
      </c>
      <c r="E10">
        <v>1300</v>
      </c>
      <c r="F10">
        <v>500</v>
      </c>
      <c r="G10">
        <f>SUM(C10:F10)</f>
        <v>7300</v>
      </c>
    </row>
    <row r="11" spans="1:11">
      <c r="B11" t="s">
        <v>97</v>
      </c>
      <c r="C11" s="82">
        <f>C8*C10</f>
        <v>1400</v>
      </c>
      <c r="D11" s="82">
        <f>D8*D10</f>
        <v>1750</v>
      </c>
      <c r="E11" s="82">
        <f>E8*E10</f>
        <v>524.99999999999</v>
      </c>
      <c r="F11" s="82">
        <f>F8*F10</f>
        <v>2000</v>
      </c>
      <c r="G11">
        <f>SUM(C11:F11)</f>
        <v>5675</v>
      </c>
    </row>
    <row r="12" spans="1:11">
      <c r="B12" s="81" t="s">
        <v>98</v>
      </c>
      <c r="C12" s="82">
        <f>C10*C9</f>
        <v>0</v>
      </c>
      <c r="D12" s="82">
        <f>D10*D9</f>
        <v>0</v>
      </c>
      <c r="E12" s="82">
        <f>E10*E9</f>
        <v>0</v>
      </c>
      <c r="F12" s="82">
        <f>F10*F9</f>
        <v>0</v>
      </c>
      <c r="G12"/>
    </row>
    <row r="13" spans="1:11">
      <c r="B13" t="s">
        <v>99</v>
      </c>
      <c r="C13" s="86">
        <f>C11/G11</f>
        <v>0.24669603524229</v>
      </c>
      <c r="D13" s="86">
        <f>D11/G11</f>
        <v>0.30837004405286</v>
      </c>
      <c r="E13" s="86">
        <f>E11/G11</f>
        <v>0.092511013215858</v>
      </c>
      <c r="F13" s="86">
        <f>F11/G11</f>
        <v>0.35242290748899</v>
      </c>
      <c r="G13"/>
    </row>
    <row r="14" spans="1:11">
      <c r="B14" t="s">
        <v>100</v>
      </c>
      <c r="C14" s="82">
        <f>G14*C13</f>
        <v>144.76123348018</v>
      </c>
      <c r="D14" s="82">
        <f>G14*D13</f>
        <v>180.95154185022</v>
      </c>
      <c r="E14" s="82">
        <f>G14*E13</f>
        <v>54.285462555066</v>
      </c>
      <c r="F14" s="82">
        <f>G14*F13</f>
        <v>206.80176211454</v>
      </c>
      <c r="G14">
        <f>IF(G7&lt;1, K7*0.6, K7*0.6*G7)</f>
        <v>586.8</v>
      </c>
    </row>
    <row r="15" spans="1:11">
      <c r="B15" t="s">
        <v>101</v>
      </c>
      <c r="C15" s="82">
        <f>C11+C14</f>
        <v>1544.7612334802</v>
      </c>
      <c r="D15" s="82">
        <f>D11+D14</f>
        <v>1930.9515418502</v>
      </c>
      <c r="E15" s="82">
        <f>E11+E14</f>
        <v>579.28546255506</v>
      </c>
      <c r="F15" s="82">
        <f>F11+F14</f>
        <v>2206.8017621145</v>
      </c>
      <c r="G15"/>
    </row>
    <row r="16" spans="1:11">
      <c r="B16" s="81" t="s">
        <v>102</v>
      </c>
      <c r="C16" s="82">
        <f>C12+C14</f>
        <v>144.76123348018</v>
      </c>
      <c r="D16" s="82">
        <f>D12+D14</f>
        <v>180.95154185022</v>
      </c>
      <c r="E16" s="82">
        <f>E12+E14</f>
        <v>54.285462555066</v>
      </c>
      <c r="F16" s="82">
        <f>F12+F14</f>
        <v>206.80176211454</v>
      </c>
      <c r="G16"/>
    </row>
    <row r="17" spans="1:11">
      <c r="B17" t="s">
        <v>103</v>
      </c>
      <c r="C17" s="82">
        <f>IF(G11&gt;5000,100*C13,50*C13)</f>
        <v>24.669603524229</v>
      </c>
      <c r="D17" s="82">
        <f>IF(G11&gt;5000,100*D13,50*D13)</f>
        <v>30.837004405286</v>
      </c>
      <c r="E17" s="82">
        <f>IF(G11&gt;5000,100*E13,50*E13)</f>
        <v>9.2511013215858</v>
      </c>
      <c r="F17" s="82">
        <f>IF(G11&gt;5000,100*F13,50*F13)</f>
        <v>35.242290748899</v>
      </c>
      <c r="G17"/>
    </row>
    <row r="18" spans="1:11">
      <c r="B18" t="s">
        <v>104</v>
      </c>
      <c r="C18" s="82">
        <f>C15+C17</f>
        <v>1569.4308370044</v>
      </c>
      <c r="D18" s="82">
        <f>D15+D17</f>
        <v>1961.7885462555</v>
      </c>
      <c r="E18" s="82">
        <f>E15+E17</f>
        <v>588.53656387665</v>
      </c>
      <c r="F18" s="82">
        <f>F15+F17</f>
        <v>2242.0440528634</v>
      </c>
      <c r="G18"/>
    </row>
    <row r="19" spans="1:11">
      <c r="B19" s="81" t="s">
        <v>105</v>
      </c>
      <c r="C19" s="82">
        <f>C16+C17</f>
        <v>169.43083700441</v>
      </c>
      <c r="D19" s="82">
        <f>D16+D17</f>
        <v>211.78854625551</v>
      </c>
      <c r="E19" s="82">
        <f>E16+E17</f>
        <v>63.536563876651</v>
      </c>
      <c r="F19" s="82">
        <f>F16+F17</f>
        <v>242.04405286344</v>
      </c>
      <c r="G19"/>
    </row>
    <row r="23" spans="1:11">
      <c r="B23" s="78" t="s">
        <v>115</v>
      </c>
      <c r="C23"/>
      <c r="D23"/>
      <c r="E23"/>
    </row>
    <row r="26" spans="1:11">
      <c r="B26" t="s">
        <v>116</v>
      </c>
      <c r="C26" s="82">
        <v>0</v>
      </c>
      <c r="D26" s="82">
        <v>0</v>
      </c>
      <c r="E26" s="82">
        <v>0</v>
      </c>
      <c r="F26" s="82">
        <v>0</v>
      </c>
      <c r="G26" s="82">
        <f>SUM(C26:F26)</f>
        <v>0</v>
      </c>
    </row>
    <row r="27" spans="1:11">
      <c r="C27" s="87">
        <v>0.0</v>
      </c>
      <c r="D27" s="87">
        <v>0.0</v>
      </c>
      <c r="E27" s="87">
        <v>0.0</v>
      </c>
      <c r="F27" s="87">
        <v>0.0</v>
      </c>
      <c r="G27" s="86">
        <f>SUM(C27:F27)</f>
        <v>0</v>
      </c>
    </row>
    <row r="28" spans="1:11">
      <c r="B28" t="s">
        <v>109</v>
      </c>
      <c r="C28" s="82">
        <f>MAX(C19,C18)*C27</f>
        <v>0</v>
      </c>
      <c r="D28" s="82">
        <f>MAX(D19,D18)*D27</f>
        <v>0</v>
      </c>
      <c r="E28" s="82">
        <f>MAX(E19,E18)*E27</f>
        <v>0</v>
      </c>
      <c r="F28" s="82">
        <f>MAX(F19,F18)*F27</f>
        <v>0</v>
      </c>
      <c r="G28" s="82">
        <f>SUM(C28:F28)</f>
        <v>0</v>
      </c>
    </row>
    <row r="29" spans="1:11">
      <c r="B29" t="s">
        <v>31</v>
      </c>
      <c r="C29" s="82">
        <f>0.16*(MAX(C19,C18)+C28)</f>
        <v>251.1089339207</v>
      </c>
      <c r="D29" s="82">
        <f>0.16*(MAX(D19,D18)+D28)</f>
        <v>313.88616740088</v>
      </c>
      <c r="E29" s="82">
        <f>0.16*(MAX(E19,E18)+E28)</f>
        <v>94.165850220263</v>
      </c>
      <c r="F29" s="82">
        <f>0.16*(MAX(F19,F18)+F28)</f>
        <v>358.72704845815</v>
      </c>
      <c r="G29" s="82">
        <f>SUM(C29:F29)</f>
        <v>1017.888</v>
      </c>
    </row>
    <row r="30" spans="1:11">
      <c r="B30" t="s">
        <v>32</v>
      </c>
      <c r="C30" s="82">
        <f>0.02*(MAX(C19,C18)+C28)</f>
        <v>31.388616740088</v>
      </c>
      <c r="D30" s="82">
        <f>0.02*(MAX(D19,D18)+D28)</f>
        <v>39.23577092511</v>
      </c>
      <c r="E30" s="82">
        <f>0.02*(MAX(E19,E18)+E28)</f>
        <v>11.770731277533</v>
      </c>
      <c r="F30" s="82">
        <f>0.02*(MAX(F19,F18)+F28)</f>
        <v>44.840881057269</v>
      </c>
      <c r="G30" s="82">
        <f>SUM(C30:F30)</f>
        <v>127.236</v>
      </c>
    </row>
    <row r="31" spans="1:11">
      <c r="B31" t="s">
        <v>110</v>
      </c>
      <c r="C31" s="82">
        <f>0.035*(MAX(C18,C19) +C28+C29+C30)</f>
        <v>64.817493568282</v>
      </c>
      <c r="D31" s="82">
        <f>0.035*(MAX(D18,D19) +D28+D29+D30)</f>
        <v>81.021866960352</v>
      </c>
      <c r="E31" s="82">
        <f>0.035*(MAX(E18,E19) +E28+E29+E30)</f>
        <v>24.306560088105</v>
      </c>
      <c r="F31" s="82">
        <f>0.035*(MAX(F18,F19) +F28+F29+F30)</f>
        <v>92.59641938326</v>
      </c>
      <c r="G31" s="82">
        <f>SUM(C31:F31)</f>
        <v>262.74234</v>
      </c>
    </row>
    <row r="32" spans="1:11">
      <c r="B32" t="s">
        <v>36</v>
      </c>
      <c r="C32" s="82">
        <f>SUM(C28:C31)</f>
        <v>347.31504422907</v>
      </c>
      <c r="D32" s="82">
        <f>SUM(D28:D31)</f>
        <v>434.14380528634</v>
      </c>
      <c r="E32" s="82">
        <f>SUM(E28:E31)</f>
        <v>130.2431415859</v>
      </c>
      <c r="F32" s="82">
        <f>SUM(F28:F31)</f>
        <v>496.16434889868</v>
      </c>
      <c r="G32" s="82">
        <f>SUM(G28:G31)</f>
        <v>1407.86634</v>
      </c>
    </row>
    <row r="37" spans="1:11">
      <c r="B37" s="78" t="s">
        <v>117</v>
      </c>
      <c r="C37"/>
      <c r="D37"/>
      <c r="E37"/>
    </row>
    <row r="40" spans="1:11">
      <c r="B40" t="s">
        <v>111</v>
      </c>
      <c r="C40" s="82">
        <f>C13*G40</f>
        <v>96.507488986784</v>
      </c>
      <c r="D40" s="82">
        <f>D13*G40</f>
        <v>120.63436123348</v>
      </c>
      <c r="E40" s="82">
        <f>E13*G40</f>
        <v>36.190308370044</v>
      </c>
      <c r="F40" s="82">
        <f>F13*G40</f>
        <v>137.86784140969</v>
      </c>
      <c r="G40">
        <f>IF(G7&lt;1, K7*0.4,K7*0.4*G7)</f>
        <v>391.2</v>
      </c>
    </row>
    <row r="41" spans="1:11">
      <c r="B41"/>
    </row>
    <row r="43" spans="1:11">
      <c r="B43" t="s">
        <v>111</v>
      </c>
      <c r="C43" t="s">
        <v>49</v>
      </c>
      <c r="D43" t="s">
        <v>50</v>
      </c>
      <c r="E43" t="s">
        <v>51</v>
      </c>
      <c r="F43" t="s">
        <v>52</v>
      </c>
      <c r="G43" t="s">
        <v>108</v>
      </c>
    </row>
    <row r="44" spans="1:11">
      <c r="B44" t="s">
        <v>112</v>
      </c>
      <c r="C44" s="82">
        <f>SUM(C15,C40,C32,(C26))</f>
        <v>1988.583766696</v>
      </c>
      <c r="D44" s="82">
        <f>SUM(D15,D40,D32,(D26))</f>
        <v>2485.72970837</v>
      </c>
      <c r="E44" s="82">
        <f>SUM(E15,E40,E32,(E26))</f>
        <v>745.71891251101</v>
      </c>
      <c r="F44" s="82">
        <f>SUM(F15,F40,F32,(F26))</f>
        <v>2840.8339524229</v>
      </c>
      <c r="G44" s="82">
        <f>SUM(C44:F44)</f>
        <v>8060.86634</v>
      </c>
    </row>
    <row r="45" spans="1:11">
      <c r="B45" t="s">
        <v>45</v>
      </c>
      <c r="C45">
        <v>500</v>
      </c>
      <c r="D45">
        <v>5000</v>
      </c>
      <c r="E45">
        <v>1300</v>
      </c>
      <c r="F45">
        <v>500</v>
      </c>
      <c r="G45"/>
    </row>
    <row r="46" spans="1:11">
      <c r="B46" t="s">
        <v>113</v>
      </c>
      <c r="C46" s="82">
        <f>SUM(C44/C45)</f>
        <v>3.9771675333921</v>
      </c>
      <c r="D46" s="82">
        <f>SUM(D44/D45)</f>
        <v>0.49714594167401</v>
      </c>
      <c r="E46" s="82">
        <f>SUM(E44/E45)</f>
        <v>0.57362993270077</v>
      </c>
      <c r="F46" s="82">
        <f>SUM(F44/F45)</f>
        <v>5.6816679048458</v>
      </c>
      <c r="G46"/>
    </row>
    <row r="47" spans="1:11">
      <c r="B47" t="s">
        <v>114</v>
      </c>
      <c r="C47" s="88">
        <f>C46*3.7</f>
        <v>14.715519873551</v>
      </c>
      <c r="D47" s="88">
        <f>D46*3.7</f>
        <v>1.8394399841938</v>
      </c>
      <c r="E47" s="88">
        <f>E46*3.7</f>
        <v>2.1224307509929</v>
      </c>
      <c r="F47" s="88">
        <f>F46*3.7</f>
        <v>21.02217124793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