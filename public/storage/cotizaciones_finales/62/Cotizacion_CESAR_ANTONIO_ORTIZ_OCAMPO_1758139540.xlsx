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<sst xmlns="http://schemas.openxmlformats.org/spreadsheetml/2006/main" uniqueCount="124">
  <si>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PRO MUNDO COMEX S.A.C.</t>
  </si>
  <si>
    <t xml:space="preserve">         RUC: 20612452432</t>
  </si>
  <si>
    <t>COTIZACION N002</t>
  </si>
  <si>
    <t>NOMBRE:</t>
  </si>
  <si>
    <t>CESAR ANTONIO ORTIZ OCAMPO</t>
  </si>
  <si>
    <t>SERVICIO:</t>
  </si>
  <si>
    <t>CARGA CONSOLIDADA</t>
  </si>
  <si>
    <t>N° CAJAS:</t>
  </si>
  <si>
    <t>APELLIDO:</t>
  </si>
  <si>
    <t>FECHA:</t>
  </si>
  <si>
    <t>PESO:</t>
  </si>
  <si>
    <t>1.227 Tn</t>
  </si>
  <si>
    <t>DNI/RUC:</t>
  </si>
  <si>
    <t>ORIGEN:</t>
  </si>
  <si>
    <t>CHINA</t>
  </si>
  <si>
    <t>MEDIDA:</t>
  </si>
  <si>
    <t>TELEFONO:</t>
  </si>
  <si>
    <t>51 997 412 500</t>
  </si>
  <si>
    <t>CLIENTE:</t>
  </si>
  <si>
    <t>MANUAL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</si>
  <si>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</si>
  <si>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</si>
  <si>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</si>
  <si>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</si>
  <si>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</si>
  <si>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</si>
  <si>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</si>
  <si>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</si>
  <si>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</si>
  <si>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</si>
  <si>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</si>
  <si>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Hola CESAR ANTONIO ORTIZ OCAMPO 😁 un gusto saludarte!
A continuación te envío la cotización final de tu importación📋📦.
🙋‍♂️ PAGO PENDIENTE :
☑️Costo CBM: $911.2555
☑️Impuestos: $0
☑️ Total: $911.2555
Pronto le aviso nuevos avances, que tengan buen día🚢
Último día de pago:</t>
  </si>
  <si>
    <t>IGV</t>
  </si>
  <si>
    <t>IPM</t>
  </si>
  <si>
    <t>22. El monto facturado sera en base al valor de la mercaderia + Gastos Logisticos</t>
  </si>
  <si>
    <t>21.Se emitirá comprobante (boleta o Factura) de su importación en base a la estrategia de declaración realizada.</t>
  </si>
  <si>
    <t>20.Las mercancías son declaradas a nombre de la empresa Grupo Pro Business.</t>
  </si>
  <si>
    <t>19.La fecha de entrega es aproximada, está sujeto a variaciones.</t>
  </si>
  <si>
    <t>18.No somos responsable de las mermas o faltante de la carga (entregamos su pedido tal cual el proveedor envío).</t>
  </si>
  <si>
    <t>17.Los ajustes de valor que aplique la aduana serán asumidos por el cliente.</t>
  </si>
  <si>
    <t>16.Si el cliente no paga los tributos o gastos administrativos de su cotización, Pro Business será dueño total de la carga.</t>
  </si>
  <si>
    <t xml:space="preserve">15.El cliente estará sujeto a pagar mayor el ad- valorem en caso aduanas aplique cambios de partida. </t>
  </si>
  <si>
    <t>se procederá a realizar las acciones legales del caso.</t>
  </si>
  <si>
    <t xml:space="preserve">14.En caso el cliente esté importando una carga que no sea legal y la empresa Pro Business se vea perjudicada, </t>
  </si>
  <si>
    <t>de acogerse a un beneficio arancelario (C.O).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</si>
  <si>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</si>
  <si>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12.No se aceptan productos restringido.</t>
  </si>
  <si>
    <t>11. El costo por metro cubico incluye: Flete – Ag. Aduana – Costos en destino.</t>
  </si>
  <si>
    <t>10. Si aduana realiza un ajuste de valor a su importación, el cliente tendrá que pagar la diferencia.</t>
  </si>
  <si>
    <t>9.No hay opción de reembolso.</t>
  </si>
  <si>
    <t>coordinador  logístico la tarifa.</t>
  </si>
  <si>
    <t>8. Las cargas mayores a 200 kg x bulto tendrán un costo adicional por manipuleo, consultar con el</t>
  </si>
  <si>
    <t>Costo: desde s/20.00</t>
  </si>
  <si>
    <t>7.Los envíos a provincia se realizan a través de la agencia Marvisur o Shalom, con previo pago de flete interno.</t>
  </si>
  <si>
    <t>6.Se procederá a cobrar S/.30 x día de almacenaje si el cliente no recoge su pedido en el plazo acordado.</t>
  </si>
  <si>
    <t>5.Los pagos realizados fuera de fecha están sujetos a un recargo de S/.30 por día.</t>
  </si>
  <si>
    <t>En caso contrario, asumirá el costo de  almacenaje $30 y será embarcado en la próxima salida.</t>
  </si>
  <si>
    <t>4. La carga deberá llegar al almacén –Yiwu en el rango de fecha indicado por su asesor.</t>
  </si>
  <si>
    <t>3. No somos responsables de retraso del proveedor para entregar la carga.</t>
  </si>
  <si>
    <t xml:space="preserve"> No se aceptan marcas con medidas  de frontera. </t>
  </si>
  <si>
    <t>2.Todas las marcas de los productos deben ser verificadas por el cliente,</t>
  </si>
  <si>
    <t xml:space="preserve">1. Todos los pagos se realizan en dólares. </t>
  </si>
  <si>
    <t>TÉRMINOS Y CONDICIONES:</t>
  </si>
  <si>
    <t xml:space="preserve">       RUC: 20612452432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</si>
  <si>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</si>
  <si>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</si>
  <si>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</si>
  <si>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</si>
  <si>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t>TOTAL</t>
  </si>
  <si>
    <t>MÁQUINA DE GIMNASIO PARA SENTADILLAS</t>
  </si>
  <si>
    <t>RACK PARA ALZAR PESAS JK-01</t>
  </si>
  <si>
    <t>KIT DE DISCOS PARA PESAS</t>
  </si>
  <si>
    <t>BARRA OLÍMPICA PARA GIMNASIO</t>
  </si>
  <si>
    <t>RODILLERAS PARA HALTEROFILIA</t>
  </si>
  <si>
    <t>ZAPATILLA PARA GIMNASIO</t>
  </si>
  <si>
    <t>MOCHILA PARA GIMNASIO</t>
  </si>
  <si>
    <t>MALETIN PARA GIMNASIO</t>
  </si>
  <si>
    <t>CINTURON PARA LEVANTAMIENTO DE PESO</t>
  </si>
  <si>
    <t>ZAPATILLAS PARA HALTEROFILIA</t>
  </si>
  <si>
    <t>ZAPATILLAS PARA BOXEO</t>
  </si>
  <si>
    <t>MUÑEQUERAS PARA LEVANTAMIENTO DE PESAS</t>
  </si>
  <si>
    <t>PRECIO UNIT. (SOLES)</t>
  </si>
  <si>
    <t>PRECIO U.</t>
  </si>
  <si>
    <t>COSTO UNI.</t>
  </si>
  <si>
    <t>CANTIDAD</t>
  </si>
  <si>
    <t>NOMBRE PRODUCTO</t>
  </si>
  <si>
    <t># ITEM</t>
  </si>
  <si>
    <t>SIMULACIÓN DEL PRECIO PUESTO EN PERÚ POR PIEZA</t>
  </si>
  <si>
    <t>MONTO TOTAL</t>
  </si>
  <si>
    <t>IMPUESTOS</t>
  </si>
  <si>
    <t>SERVICIO DE IMPORTACIÓN  (ORIGEN -FLETE - DESTINO)</t>
  </si>
  <si>
    <t>VALOR DE CARGA (PAGO AL PROVEEDOR)</t>
  </si>
  <si>
    <t>RESUMEN DE COTIZACIÓN</t>
  </si>
  <si>
    <t>3.5%</t>
  </si>
  <si>
    <t>PERCEPCIÓN</t>
  </si>
  <si>
    <t>SUB TOTAL</t>
  </si>
  <si>
    <t>ANTIDUMPING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</si>
  <si>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</si>
  <si>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</si>
  <si>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</si>
  <si>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</si>
  <si>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</si>
  <si>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</si>
  <si>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</si>
  <si>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</si>
  <si>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</si>
  <si>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</si>
  <si>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</si>
  <si>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</si>
  <si>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</si>
  <si>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</si>
  <si>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</si>
  <si>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</si>
  <si>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</si>
  <si>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</si>
  <si>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</si>
  <si>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</si>
  <si>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</si>
  <si>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</si>
  <si>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</si>
  <si>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</si>
  <si>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</si>
  <si>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</si>
  <si>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Costos Destinos</t>
  </si>
</sst>
</file>

<file path=xl/styles.xml><?xml version="1.0" encoding="utf-8"?>
<styleSheet xmlns="http://schemas.openxmlformats.org/spreadsheetml/2006/main" xml:space="preserve">
  <numFmts count="10">
    <numFmt numFmtId="164" formatCode="[$$-409]#,##0"/>
    <numFmt numFmtId="165" formatCode="_-[$$-540A]* #,##0.00_ ;_-[$$-540A]* \-#,##0.00\ ;_-[$$-540A]* &quot;-&quot;??_ ;_-@_ "/>
    <numFmt numFmtId="166" formatCode="_-[$S/-280A]\ * #,##0.00_-;\-[$S/-280A]\ * #,##0.00_-;_-[$S/-280A]\ * &quot;-&quot;??_-;_-@_-"/>
    <numFmt numFmtId="167" formatCode="0.0\ &quot;kg&quot;"/>
    <numFmt numFmtId="168" formatCode="0.0\ &quot;cm&quot;"/>
    <numFmt numFmtId="169" formatCode="#,##0.000\ &quot;m3&quot;"/>
    <numFmt numFmtId="170" formatCode="&quot;$&quot;#,##0_-"/>
    <numFmt numFmtId="171" formatCode="0.00&quot; tn&quot;"/>
    <numFmt numFmtId="172" formatCode="&quot;S/.&quot; #,##0.00_-"/>
    <numFmt numFmtId="173" formatCode="_-[$$-409]* #,##0.00_ ;_-[$$-409]* \-#,##0.00\ ;_-[$$-409]* &quot;-&quot;??_ ;_-@_ "/>
  </numFmts>
  <fonts count="20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single"/>
      <sz val="11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  <fill>
      <patternFill patternType="solid">
        <fgColor rgb="FFFFFF33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8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5" numFmtId="0" fillId="2" borderId="4" applyFont="1" applyNumberFormat="0" applyFill="1" applyBorder="1" applyAlignment="0"/>
    <xf xfId="0" fontId="6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7" applyFont="1" applyNumberFormat="0" applyFill="1" applyBorder="1" applyAlignment="1">
      <alignment horizontal="center" vertical="bottom" textRotation="0" wrapText="false" shrinkToFit="false"/>
    </xf>
    <xf xfId="0" fontId="1" numFmtId="165" fillId="2" borderId="7" applyFont="1" applyNumberFormat="1" applyFill="1" applyBorder="1" applyAlignment="1">
      <alignment horizontal="center" vertical="bottom" textRotation="0" wrapText="false" shrinkToFit="false"/>
    </xf>
    <xf xfId="0" fontId="7" numFmtId="166" fillId="2" borderId="0" applyFont="1" applyNumberFormat="1" applyFill="1" applyBorder="0" applyAlignment="1">
      <alignment horizontal="left" vertical="bottom" textRotation="0" wrapText="false" shrinkToFit="false"/>
    </xf>
    <xf xfId="0" fontId="0" numFmtId="166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8" applyFont="1" applyNumberFormat="0" applyFill="1" applyBorder="1" applyAlignment="0"/>
    <xf xfId="0" fontId="6" numFmtId="0" fillId="2" borderId="8" applyFont="1" applyNumberFormat="0" applyFill="1" applyBorder="1" applyAlignment="1">
      <alignment vertical="center" textRotation="0" wrapText="false" shrinkToFit="false"/>
    </xf>
    <xf xfId="0" fontId="8" numFmtId="0" fillId="2" borderId="0" applyFont="1" applyNumberFormat="0" applyFill="1" applyBorder="0" applyAlignment="0"/>
    <xf xfId="0" fontId="9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7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8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8" applyFont="0" applyNumberFormat="0" applyFill="1" applyBorder="1" applyAlignment="0"/>
    <xf xfId="0" fontId="1" numFmtId="0" fillId="2" borderId="7" applyFont="1" applyNumberFormat="0" applyFill="1" applyBorder="1" applyAlignment="0"/>
    <xf xfId="0" fontId="1" numFmtId="0" fillId="2" borderId="9" applyFont="1" applyNumberFormat="0" applyFill="1" applyBorder="1" applyAlignment="0"/>
    <xf xfId="0" fontId="6" numFmtId="166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7" applyFont="1" applyNumberFormat="0" applyFill="1" applyBorder="1" applyAlignment="0"/>
    <xf xfId="0" fontId="10" numFmtId="0" fillId="5" borderId="0" applyFont="1" applyNumberFormat="0" applyFill="1" applyBorder="0" applyAlignment="1">
      <alignment horizontal="left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2" borderId="0" applyFont="1" applyNumberFormat="0" applyFill="1" applyBorder="0" applyAlignment="1">
      <alignment horizontal="left" vertical="bottom" textRotation="0" wrapText="false" shrinkToFit="false"/>
    </xf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12" numFmtId="0" fillId="3" borderId="10" applyFont="1" applyNumberFormat="0" applyFill="1" applyBorder="1" applyAlignment="1">
      <alignment horizontal="center" vertical="bottom" textRotation="0" wrapText="false" shrinkToFit="false"/>
    </xf>
    <xf xfId="0" fontId="12" numFmtId="0" fillId="3" borderId="6" applyFont="1" applyNumberFormat="0" applyFill="1" applyBorder="1" applyAlignment="1">
      <alignment horizontal="center" vertical="bottom" textRotation="0" wrapText="false" shrinkToFit="false"/>
    </xf>
    <xf xfId="0" fontId="12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68" fillId="6" borderId="0" applyFont="1" applyNumberFormat="1" applyFill="1" applyBorder="0" applyAlignment="1">
      <alignment horizontal="center" vertical="bottom" textRotation="0" wrapText="false" shrinkToFit="false"/>
    </xf>
    <xf xfId="0" fontId="13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4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4" numFmtId="0" fillId="3" borderId="0" applyFont="1" applyNumberFormat="0" applyFill="1" applyBorder="0" applyAlignment="1">
      <alignment horizontal="left" vertical="bottom" textRotation="0" wrapText="false" shrinkToFit="false"/>
    </xf>
    <xf xfId="0" fontId="1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6" numFmtId="166" fillId="3" borderId="11" applyFont="1" applyNumberFormat="1" applyFill="1" applyBorder="1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6" numFmtId="0" fillId="8" borderId="0" applyFont="1" applyNumberFormat="0" applyFill="1" applyBorder="0" applyAlignment="0"/>
    <xf xfId="0" fontId="6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0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1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6" numFmtId="10" fillId="0" borderId="0" applyFont="1" applyNumberFormat="1" applyFill="0" applyBorder="0" applyAlignment="0"/>
    <xf xfId="0" fontId="0" numFmtId="172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  <xf xfId="0" fontId="17" numFmtId="0" fillId="2" borderId="1" applyFont="1" applyNumberFormat="0" applyFill="1" applyBorder="1" applyAlignment="1">
      <alignment horizontal="center" vertical="bottom" textRotation="0" wrapText="false" shrinkToFit="false"/>
    </xf>
    <xf xfId="0" fontId="17" numFmtId="0" fillId="2" borderId="10" applyFont="1" applyNumberFormat="0" applyFill="1" applyBorder="1" applyAlignment="1">
      <alignment horizontal="center" vertical="bottom" textRotation="0" wrapText="false" shrinkToFit="false"/>
    </xf>
    <xf xfId="0" fontId="17" numFmtId="0" fillId="2" borderId="6" applyFont="1" applyNumberFormat="0" applyFill="1" applyBorder="1" applyAlignment="1">
      <alignment horizontal="center" vertical="bottom" textRotation="0" wrapText="false" shrinkToFit="false"/>
    </xf>
    <xf xfId="0" fontId="17" numFmtId="0" fillId="2" borderId="11" applyFont="1" applyNumberFormat="0" applyFill="1" applyBorder="1" applyAlignment="1">
      <alignment horizontal="center" vertical="bottom" textRotation="0" wrapText="false" shrinkToFit="false"/>
    </xf>
    <xf xfId="0" fontId="17" numFmtId="170" fillId="2" borderId="10" applyFont="1" applyNumberFormat="1" applyFill="1" applyBorder="1" applyAlignment="1">
      <alignment horizontal="center" vertical="bottom" textRotation="0" wrapText="false" shrinkToFit="false"/>
    </xf>
    <xf xfId="0" fontId="17" numFmtId="173" fillId="2" borderId="11" applyFont="1" applyNumberFormat="1" applyFill="1" applyBorder="1" applyAlignment="1">
      <alignment horizontal="center" vertical="bottom" textRotation="0" wrapText="false" shrinkToFit="false"/>
    </xf>
    <xf xfId="0" fontId="18" numFmtId="172" fillId="3" borderId="1" applyFont="1" applyNumberFormat="1" applyFill="1" applyBorder="1" applyAlignment="1">
      <alignment horizontal="center" vertical="bottom" textRotation="0" wrapText="false" shrinkToFit="false"/>
    </xf>
    <xf xfId="0" fontId="18" numFmtId="172" fillId="3" borderId="10" applyFont="1" applyNumberFormat="1" applyFill="1" applyBorder="1" applyAlignment="1">
      <alignment horizontal="center" vertical="bottom" textRotation="0" wrapText="false" shrinkToFit="false"/>
    </xf>
    <xf xfId="0" fontId="17" numFmtId="0" fillId="2" borderId="0" applyFont="1" applyNumberFormat="0" applyFill="1" applyBorder="0" applyAlignment="1">
      <alignment horizontal="center" vertical="bottom" textRotation="0" wrapText="false" shrinkToFit="false"/>
    </xf>
    <xf xfId="0" fontId="17" numFmtId="170" fillId="2" borderId="0" applyFont="1" applyNumberFormat="1" applyFill="1" applyBorder="0" applyAlignment="1">
      <alignment horizontal="center" vertical="bottom" textRotation="0" wrapText="false" shrinkToFit="false"/>
    </xf>
    <xf xfId="0" fontId="17" numFmtId="170" fillId="0" borderId="0" applyFont="1" applyNumberFormat="1" applyFill="0" applyBorder="0" applyAlignment="1">
      <alignment horizontal="center" vertical="bottom" textRotation="0" wrapText="false" shrinkToFit="false"/>
    </xf>
    <xf xfId="0" fontId="17" numFmtId="170" fillId="2" borderId="7" applyFont="1" applyNumberFormat="1" applyFill="1" applyBorder="1" applyAlignment="1">
      <alignment horizontal="center" vertical="bottom" textRotation="0" wrapText="false" shrinkToFit="false"/>
    </xf>
    <xf xfId="0" fontId="18" numFmtId="172" fillId="3" borderId="0" applyFont="1" applyNumberFormat="1" applyFill="1" applyBorder="0" applyAlignment="1">
      <alignment horizontal="center" vertical="bottom" textRotation="0" wrapText="false" shrinkToFit="false"/>
    </xf>
    <xf xfId="0" fontId="19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170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0"/>
    <xf xfId="0" fontId="0" numFmtId="9" fillId="10" borderId="0" applyFont="0" applyNumberFormat="1" applyFill="1" applyBorder="0" applyAlignment="1">
      <alignment horizontal="center" vertical="bottom" textRotation="0" wrapText="false" shrinkToFit="false"/>
    </xf>
    <xf xfId="0" fontId="1" numFmtId="165" fillId="10" borderId="0" applyFont="1" applyNumberFormat="1" applyFill="1" applyBorder="0" applyAlignment="1">
      <alignment horizontal="center" vertical="bottom" textRotation="0" wrapText="false" shrinkToFit="false"/>
    </xf>
    <xf xfId="0" fontId="1" numFmtId="0" fillId="10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54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90</xdr:row>
      <xdr:rowOff>104775</xdr:rowOff>
    </xdr:from>
    <xdr:to>
      <xdr:col>8</xdr:col>
      <xdr:colOff>504825</xdr:colOff>
      <xdr:row>108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6"/>
  <sheetViews>
    <sheetView tabSelected="1" workbookViewId="0" zoomScale="85" zoomScaleNormal="85" showGridLines="false" showRowColHeaders="1" topLeftCell="A40">
      <selection activeCell="B23" sqref="B23:L23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N1"/>
    </row>
    <row r="2" spans="1:14" customHeight="1" ht="18">
      <c r="B2" s="37"/>
      <c r="C2" s="37"/>
      <c r="E2" s="42"/>
      <c r="F2" s="42"/>
      <c r="G2" s="42"/>
      <c r="H2" s="42"/>
      <c r="I2" s="42"/>
      <c r="J2" s="42"/>
      <c r="K2" s="42"/>
      <c r="L2" s="42"/>
      <c r="N2"/>
    </row>
    <row r="3" spans="1:14" customHeight="1" ht="25.8">
      <c r="B3" s="37"/>
      <c r="C3" s="37"/>
      <c r="E3" s="53" t="s">
        <v>0</v>
      </c>
      <c r="F3" s="53"/>
      <c r="G3" s="53"/>
      <c r="H3" s="53"/>
      <c r="I3" s="53"/>
      <c r="J3" s="53"/>
      <c r="N3"/>
    </row>
    <row r="4" spans="1:14" customHeight="1" ht="25.8">
      <c r="B4" s="37"/>
      <c r="C4" s="37"/>
      <c r="E4" s="54" t="s">
        <v>1</v>
      </c>
      <c r="F4" s="54"/>
      <c r="G4" s="54"/>
      <c r="H4" s="54"/>
      <c r="I4" s="54"/>
      <c r="J4" s="54"/>
      <c r="K4" s="11"/>
      <c r="N4"/>
    </row>
    <row r="5" spans="1:14">
      <c r="B5" s="37"/>
      <c r="C5" s="37"/>
      <c r="D5" s="35"/>
      <c r="N5"/>
    </row>
    <row r="6" spans="1:14">
      <c r="B6" s="37"/>
      <c r="C6" s="37"/>
      <c r="D6" s="23"/>
      <c r="F6" s="23"/>
      <c r="G6" s="23"/>
      <c r="H6" s="23"/>
      <c r="N6"/>
    </row>
    <row r="7" spans="1:14">
      <c r="A7" s="37"/>
      <c r="B7" s="37"/>
      <c r="C7" s="37"/>
      <c r="E7" s="39" t="s">
        <v>2</v>
      </c>
      <c r="F7" s="39"/>
      <c r="G7" s="39"/>
      <c r="I7" s="37"/>
      <c r="J7" s="37"/>
      <c r="K7" s="37"/>
      <c r="L7" s="37"/>
      <c r="N7"/>
    </row>
    <row r="8" spans="1:14">
      <c r="B8" s="6" t="s">
        <v>3</v>
      </c>
      <c r="C8" s="85" t="s">
        <v>4</v>
      </c>
      <c r="D8" s="33"/>
      <c r="E8" s="20" t="s">
        <v>5</v>
      </c>
      <c r="F8" s="44" t="s">
        <v>6</v>
      </c>
      <c r="G8" s="45"/>
      <c r="H8" s="32"/>
      <c r="I8" s="1" t="s">
        <v>7</v>
      </c>
      <c r="J8" s="61">
        <f>+'2'!F7</f>
        <v>0</v>
      </c>
      <c r="K8" s="61"/>
      <c r="L8" s="61"/>
      <c r="N8"/>
    </row>
    <row r="9" spans="1:14">
      <c r="B9" s="6" t="s">
        <v>8</v>
      </c>
      <c r="C9" s="14"/>
      <c r="D9" s="33"/>
      <c r="E9" s="21" t="s">
        <v>9</v>
      </c>
      <c r="F9" s="40">
        <f>+TODAY()</f>
        <v>45917</v>
      </c>
      <c r="G9" s="41"/>
      <c r="H9" s="32"/>
      <c r="I9" s="1" t="s">
        <v>10</v>
      </c>
      <c r="J9" s="86" t="s">
        <v>11</v>
      </c>
      <c r="K9" s="38"/>
      <c r="L9" s="38"/>
      <c r="N9"/>
    </row>
    <row r="10" spans="1:14">
      <c r="B10" s="6" t="s">
        <v>12</v>
      </c>
      <c r="C10" s="14">
        <v>41842422</v>
      </c>
      <c r="D10" s="33"/>
      <c r="E10" s="25" t="s">
        <v>13</v>
      </c>
      <c r="F10" s="42" t="s">
        <v>14</v>
      </c>
      <c r="G10" s="43"/>
      <c r="H10" s="32"/>
      <c r="I10" s="1" t="s">
        <v>15</v>
      </c>
      <c r="J10" s="62">
        <v>0</v>
      </c>
      <c r="K10" s="62"/>
      <c r="L10" s="62"/>
      <c r="N10"/>
    </row>
    <row r="11" spans="1:14">
      <c r="B11" s="6" t="s">
        <v>16</v>
      </c>
      <c r="C11" s="15" t="s">
        <v>17</v>
      </c>
      <c r="D11" s="34"/>
      <c r="E11" s="22" t="s">
        <v>18</v>
      </c>
      <c r="F11" s="47" t="s">
        <v>19</v>
      </c>
      <c r="G11" s="64"/>
      <c r="H11" s="32"/>
      <c r="I11" s="1" t="s">
        <v>20</v>
      </c>
      <c r="J11" s="87">
        <f>'2'!N7</f>
        <v>0</v>
      </c>
      <c r="K11" s="73"/>
      <c r="L11" s="73"/>
      <c r="N11"/>
    </row>
    <row r="12" spans="1:14"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N12"/>
    </row>
    <row r="13" spans="1:14">
      <c r="B13" s="65" t="s">
        <v>21</v>
      </c>
      <c r="C13" s="65"/>
      <c r="D13" s="65"/>
      <c r="E13" s="65"/>
      <c r="F13" s="65"/>
      <c r="G13" s="65"/>
      <c r="H13" s="65"/>
      <c r="I13" s="65"/>
      <c r="J13" s="65"/>
      <c r="K13" s="8" t="s">
        <v>22</v>
      </c>
      <c r="L13" s="8" t="s">
        <v>23</v>
      </c>
      <c r="N13"/>
    </row>
    <row r="14" spans="1:14">
      <c r="B14" s="66" t="s">
        <v>24</v>
      </c>
      <c r="C14" s="66"/>
      <c r="D14" s="66"/>
      <c r="E14" s="66"/>
      <c r="F14" s="66"/>
      <c r="G14" s="66"/>
      <c r="H14" s="66"/>
      <c r="I14" s="66"/>
      <c r="J14" s="66"/>
      <c r="K14" s="12">
        <f>'2'!N11</f>
        <v>180</v>
      </c>
      <c r="L14" s="7" t="s">
        <v>25</v>
      </c>
      <c r="N14"/>
    </row>
    <row r="15" spans="1:14">
      <c r="B15" s="67" t="s">
        <v>26</v>
      </c>
      <c r="C15" s="67"/>
      <c r="D15" s="67"/>
      <c r="E15" s="67"/>
      <c r="F15" s="67"/>
      <c r="G15" s="67"/>
      <c r="H15" s="67"/>
      <c r="I15" s="67"/>
      <c r="J15" s="67"/>
      <c r="K15" s="13">
        <f>'2'!N14 + '2'!N17</f>
        <v>32.237773593571</v>
      </c>
      <c r="L15" s="10" t="s">
        <v>25</v>
      </c>
      <c r="N15"/>
    </row>
    <row r="16" spans="1:14">
      <c r="B16" s="50" t="s">
        <v>27</v>
      </c>
      <c r="C16" s="50"/>
      <c r="D16" s="50"/>
      <c r="E16" s="50"/>
      <c r="F16" s="50"/>
      <c r="G16" s="50"/>
      <c r="H16" s="50"/>
      <c r="I16" s="50"/>
      <c r="J16" s="50"/>
      <c r="K16" s="12">
        <f>SUM(K14:K15)</f>
        <v>212.23777359357</v>
      </c>
      <c r="L16" s="7" t="s">
        <v>25</v>
      </c>
      <c r="N16"/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N17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N18"/>
    </row>
    <row r="19" spans="1:14">
      <c r="B19" s="68" t="s">
        <v>28</v>
      </c>
      <c r="C19" s="68"/>
      <c r="D19" s="68"/>
      <c r="E19" s="68"/>
      <c r="F19" s="68"/>
      <c r="G19" s="16"/>
      <c r="H19" s="16"/>
      <c r="I19" s="16"/>
      <c r="J19" s="8" t="s">
        <v>29</v>
      </c>
      <c r="K19" s="8" t="s">
        <v>22</v>
      </c>
      <c r="L19" s="8" t="s">
        <v>23</v>
      </c>
      <c r="N19"/>
    </row>
    <row r="20" spans="1:14">
      <c r="B20" s="48" t="s">
        <v>30</v>
      </c>
      <c r="C20" s="48"/>
      <c r="D20" s="48"/>
      <c r="E20" s="48"/>
      <c r="F20" s="48"/>
      <c r="G20" s="48"/>
      <c r="H20" s="48"/>
      <c r="I20" s="48"/>
      <c r="J20" s="18">
        <f>MAX('2'!C26:E26)</f>
        <v>15.75</v>
      </c>
      <c r="K20" s="12">
        <f>'2'!N28</f>
        <v>0</v>
      </c>
      <c r="L20" s="7" t="s">
        <v>25</v>
      </c>
      <c r="N20" t="s">
        <v>31</v>
      </c>
    </row>
    <row r="21" spans="1:14">
      <c r="B21" s="48" t="s">
        <v>32</v>
      </c>
      <c r="C21" s="48"/>
      <c r="D21" s="48"/>
      <c r="E21" s="48"/>
      <c r="F21" s="48"/>
      <c r="G21" s="48"/>
      <c r="H21" s="48"/>
      <c r="I21" s="48"/>
      <c r="J21" s="18">
        <v>0.16</v>
      </c>
      <c r="K21" s="12">
        <f>'2'!N29</f>
        <v>33.958043774971</v>
      </c>
      <c r="L21" s="7" t="s">
        <v>25</v>
      </c>
      <c r="N21"/>
    </row>
    <row r="22" spans="1:14">
      <c r="B22" s="47" t="s">
        <v>33</v>
      </c>
      <c r="C22" s="47"/>
      <c r="D22" s="47"/>
      <c r="E22" s="47"/>
      <c r="F22" s="47"/>
      <c r="G22" s="47"/>
      <c r="H22" s="47"/>
      <c r="I22" s="47"/>
      <c r="J22" s="18">
        <v>0.02</v>
      </c>
      <c r="K22" s="12">
        <f>'2'!N30</f>
        <v>4.2447554718714</v>
      </c>
      <c r="L22" s="7" t="s">
        <v>25</v>
      </c>
      <c r="N22"/>
    </row>
    <row r="23" spans="1:14">
      <c r="B23" s="104" t="s">
        <v>96</v>
      </c>
      <c r="C23" s="104"/>
      <c r="D23" s="104"/>
      <c r="E23" s="104"/>
      <c r="F23" s="104"/>
      <c r="G23" s="104"/>
      <c r="H23" s="104"/>
      <c r="I23" s="104"/>
      <c r="J23" s="105"/>
      <c r="K23" s="106">
        <v>127.26</v>
      </c>
      <c r="L23" s="107"/>
      <c r="N23"/>
    </row>
    <row r="24" spans="1:14">
      <c r="B24" s="50" t="s">
        <v>95</v>
      </c>
      <c r="C24" s="50"/>
      <c r="D24" s="50"/>
      <c r="E24" s="50"/>
      <c r="F24" s="50"/>
      <c r="G24" s="50"/>
      <c r="H24" s="50"/>
      <c r="I24" s="50"/>
      <c r="J24" s="27"/>
      <c r="K24" s="28">
        <f>SUM(K20:K23)</f>
        <v>165.46279924684</v>
      </c>
      <c r="L24" s="27" t="s">
        <v>25</v>
      </c>
      <c r="N24"/>
    </row>
    <row r="25" spans="1:14">
      <c r="B25" s="48"/>
      <c r="C25" s="48"/>
      <c r="D25" s="48"/>
      <c r="E25" s="48"/>
      <c r="F25" s="48"/>
      <c r="G25" s="48"/>
      <c r="H25" s="48"/>
      <c r="I25" s="48"/>
      <c r="J25" s="2"/>
      <c r="K25" s="9"/>
      <c r="L25" s="7"/>
      <c r="N25"/>
    </row>
    <row r="26" spans="1:14">
      <c r="B26" s="47" t="s">
        <v>94</v>
      </c>
      <c r="C26" s="47"/>
      <c r="D26" s="47"/>
      <c r="E26" s="47"/>
      <c r="F26" s="47"/>
      <c r="G26" s="47"/>
      <c r="H26" s="47"/>
      <c r="I26" s="47"/>
      <c r="J26" s="19" t="s">
        <v>93</v>
      </c>
      <c r="K26" s="13">
        <f>'2'!N31</f>
        <v>8.7654200494145</v>
      </c>
      <c r="L26" s="10" t="s">
        <v>25</v>
      </c>
      <c r="N26"/>
    </row>
    <row r="27" spans="1:14">
      <c r="B27" s="50" t="s">
        <v>68</v>
      </c>
      <c r="C27" s="50"/>
      <c r="D27" s="50"/>
      <c r="E27" s="50"/>
      <c r="F27" s="50"/>
      <c r="G27" s="50"/>
      <c r="H27" s="50"/>
      <c r="I27" s="50"/>
      <c r="K27" s="12">
        <f>K24+K26</f>
        <v>174.22821929626</v>
      </c>
      <c r="L27" s="7" t="s">
        <v>25</v>
      </c>
      <c r="N27"/>
    </row>
    <row r="28" spans="1:14">
      <c r="B28" s="42"/>
      <c r="C28" s="42"/>
      <c r="D28" s="42"/>
      <c r="E28" s="42"/>
      <c r="F28" s="42"/>
      <c r="G28" s="42"/>
      <c r="H28" s="42"/>
      <c r="I28" s="42"/>
      <c r="N28"/>
    </row>
    <row r="29" spans="1:14" customHeight="1" ht="15.6">
      <c r="B29" s="51" t="s">
        <v>92</v>
      </c>
      <c r="C29" s="51"/>
      <c r="D29" s="51"/>
      <c r="E29" s="51"/>
      <c r="F29" s="51"/>
      <c r="G29" s="51"/>
      <c r="H29" s="51"/>
      <c r="I29" s="51"/>
      <c r="J29" s="51"/>
      <c r="K29" s="26" t="s">
        <v>22</v>
      </c>
      <c r="L29" s="26" t="s">
        <v>23</v>
      </c>
      <c r="N29"/>
    </row>
    <row r="30" spans="1:14">
      <c r="B30" s="48" t="s">
        <v>91</v>
      </c>
      <c r="C30" s="48"/>
      <c r="D30" s="48"/>
      <c r="E30" s="48"/>
      <c r="F30" s="48"/>
      <c r="G30" s="48"/>
      <c r="H30" s="48"/>
      <c r="I30" s="48"/>
      <c r="J30" s="48"/>
      <c r="K30" s="12">
        <f>K14</f>
        <v>180</v>
      </c>
      <c r="L30" s="7" t="s">
        <v>25</v>
      </c>
      <c r="N30"/>
    </row>
    <row r="31" spans="1:14">
      <c r="B31" s="48" t="s">
        <v>90</v>
      </c>
      <c r="C31" s="48"/>
      <c r="D31" s="48"/>
      <c r="E31" s="48"/>
      <c r="F31" s="48"/>
      <c r="G31" s="48"/>
      <c r="H31" s="48"/>
      <c r="I31" s="48"/>
      <c r="J31" s="48"/>
      <c r="K31" s="12">
        <f>IF(J11&lt;1, 343.87, 343.87*J11)</f>
        <v>343.87</v>
      </c>
      <c r="L31" s="7" t="s">
        <v>25</v>
      </c>
      <c r="N31"/>
    </row>
    <row r="32" spans="1:14">
      <c r="B32" s="47" t="s">
        <v>89</v>
      </c>
      <c r="C32" s="47"/>
      <c r="D32" s="47"/>
      <c r="E32" s="47"/>
      <c r="F32" s="47"/>
      <c r="G32" s="47"/>
      <c r="H32" s="47"/>
      <c r="I32" s="47"/>
      <c r="J32" s="47"/>
      <c r="K32" s="13">
        <f>K20+K21+K22+K26</f>
        <v>46.968219296257</v>
      </c>
      <c r="L32" s="10" t="s">
        <v>25</v>
      </c>
      <c r="N32"/>
    </row>
    <row r="33" spans="1:14">
      <c r="B33" s="50" t="s">
        <v>88</v>
      </c>
      <c r="C33" s="50"/>
      <c r="D33" s="50"/>
      <c r="E33" s="50"/>
      <c r="F33" s="50"/>
      <c r="G33" s="50"/>
      <c r="H33" s="50"/>
      <c r="I33" s="50"/>
      <c r="J33" s="50"/>
      <c r="K33" s="12">
        <f>K30+K31+K32</f>
        <v>570.83821929626</v>
      </c>
      <c r="L33" s="7" t="s">
        <v>25</v>
      </c>
      <c r="N33"/>
    </row>
    <row r="34" spans="1:14"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N34"/>
    </row>
    <row r="35" spans="1:14">
      <c r="B35" s="58" t="s">
        <v>87</v>
      </c>
      <c r="C35" s="59"/>
      <c r="D35" s="59"/>
      <c r="E35" s="59"/>
      <c r="F35" s="59"/>
      <c r="G35" s="59"/>
      <c r="H35" s="59"/>
      <c r="I35" s="59"/>
      <c r="J35" s="59"/>
      <c r="K35" s="59"/>
      <c r="L35" s="60"/>
      <c r="N35"/>
    </row>
    <row r="36" spans="1:14">
      <c r="B36" s="17" t="s">
        <v>86</v>
      </c>
      <c r="C36" s="55" t="s">
        <v>85</v>
      </c>
      <c r="D36" s="56"/>
      <c r="E36" s="57"/>
      <c r="F36" s="4" t="s">
        <v>84</v>
      </c>
      <c r="G36" s="55" t="s">
        <v>83</v>
      </c>
      <c r="H36" s="57"/>
      <c r="I36" s="3" t="s">
        <v>82</v>
      </c>
      <c r="J36" s="24" t="s">
        <v>68</v>
      </c>
      <c r="K36" s="46" t="s">
        <v>81</v>
      </c>
      <c r="L36" s="46"/>
      <c r="N36"/>
    </row>
    <row r="37" spans="1:14">
      <c r="A37" s="1"/>
      <c r="B37" s="88">
        <v>1</v>
      </c>
      <c r="C37" s="89" t="s">
        <v>80</v>
      </c>
      <c r="D37" s="90"/>
      <c r="E37" s="91"/>
      <c r="F37" s="88">
        <f>'2'!C10</f>
        <v>2</v>
      </c>
      <c r="G37" s="92">
        <f>'2'!C8</f>
        <v>3</v>
      </c>
      <c r="H37" s="93"/>
      <c r="I37" s="92">
        <f>'2'!C46</f>
        <v>5.0897247069616</v>
      </c>
      <c r="J37" s="92">
        <f>'2'!C44</f>
        <v>10.179449413923</v>
      </c>
      <c r="K37" s="94">
        <f>'2'!C47</f>
        <v>18.831981415758</v>
      </c>
      <c r="L37" s="46"/>
      <c r="N37"/>
    </row>
    <row r="38" spans="1:14">
      <c r="A38" s="1"/>
      <c r="B38" s="88">
        <v>2</v>
      </c>
      <c r="C38" s="89" t="s">
        <v>79</v>
      </c>
      <c r="D38" s="90"/>
      <c r="E38" s="91"/>
      <c r="F38" s="88">
        <f>'2'!D10</f>
        <v>25</v>
      </c>
      <c r="G38" s="92">
        <f>'2'!D8</f>
        <v>20.04</v>
      </c>
      <c r="H38" s="93"/>
      <c r="I38" s="92">
        <f>'2'!D46</f>
        <v>34.629361042504</v>
      </c>
      <c r="J38" s="92">
        <f>'2'!D44</f>
        <v>865.73402606259</v>
      </c>
      <c r="K38" s="94">
        <f>'2'!D47</f>
        <v>128.12863585726</v>
      </c>
      <c r="L38" s="46"/>
      <c r="N38"/>
    </row>
    <row r="39" spans="1:14">
      <c r="A39" s="1"/>
      <c r="B39" s="88">
        <v>3</v>
      </c>
      <c r="C39" s="89" t="s">
        <v>78</v>
      </c>
      <c r="D39" s="90"/>
      <c r="E39" s="91"/>
      <c r="F39" s="88">
        <f>'2'!E10</f>
        <v>16</v>
      </c>
      <c r="G39" s="92">
        <f>'2'!E8</f>
        <v>16.875</v>
      </c>
      <c r="H39" s="93"/>
      <c r="I39" s="92">
        <f>'2'!E46</f>
        <v>29.259701476659</v>
      </c>
      <c r="J39" s="92">
        <f>'2'!E44</f>
        <v>468.15522362655</v>
      </c>
      <c r="K39" s="95">
        <f>'2'!E47</f>
        <v>108.26089546364</v>
      </c>
      <c r="L39" s="72"/>
      <c r="N39"/>
    </row>
    <row r="40" spans="1:14" customHeight="1" ht="15.6">
      <c r="A40"/>
      <c r="B40" s="96">
        <v>4</v>
      </c>
      <c r="C40" s="96" t="s">
        <v>77</v>
      </c>
      <c r="D40" s="96"/>
      <c r="E40" s="96"/>
      <c r="F40" s="96">
        <f>'2'!F10</f>
        <v>2</v>
      </c>
      <c r="G40" s="97">
        <f>'2'!F8</f>
        <v>30</v>
      </c>
      <c r="H40" s="96"/>
      <c r="I40" s="98">
        <f>'2'!F46</f>
        <v>48.737197128868</v>
      </c>
      <c r="J40" s="99">
        <f>'2'!F44</f>
        <v>97.474394257735</v>
      </c>
      <c r="K40" s="100">
        <f>'2'!F47</f>
        <v>180.32762937681</v>
      </c>
      <c r="L40" s="29"/>
      <c r="N40"/>
    </row>
    <row r="41" spans="1:14" customHeight="1" ht="15.6">
      <c r="B41" s="96">
        <v>5</v>
      </c>
      <c r="C41" s="96" t="s">
        <v>76</v>
      </c>
      <c r="D41" s="96"/>
      <c r="E41" s="96"/>
      <c r="F41" s="96">
        <f>'2'!G10</f>
        <v>20</v>
      </c>
      <c r="G41" s="97">
        <f>'2'!G8</f>
        <v>5</v>
      </c>
      <c r="H41" s="96"/>
      <c r="I41" s="98">
        <f>'2'!G46</f>
        <v>7.6908561999949</v>
      </c>
      <c r="J41" s="97">
        <f>'2'!G44</f>
        <v>153.8171239999</v>
      </c>
      <c r="K41" s="100">
        <f>'2'!G47</f>
        <v>28.456167939981</v>
      </c>
      <c r="L41" s="29"/>
      <c r="N41"/>
    </row>
    <row r="42" spans="1:14">
      <c r="B42" s="96">
        <v>6</v>
      </c>
      <c r="C42" s="96" t="s">
        <v>75</v>
      </c>
      <c r="D42" s="96"/>
      <c r="E42" s="96"/>
      <c r="F42" s="96">
        <f>'2'!H10</f>
        <v>2</v>
      </c>
      <c r="G42" s="97">
        <f>'2'!H8</f>
        <v>30</v>
      </c>
      <c r="H42" s="96"/>
      <c r="I42" s="97">
        <f>'2'!H46</f>
        <v>48.737197128868</v>
      </c>
      <c r="J42" s="97">
        <f>'2'!H44</f>
        <v>97.474394257735</v>
      </c>
      <c r="K42" s="100">
        <f>'2'!H47</f>
        <v>180.32762937681</v>
      </c>
      <c r="L42" s="30"/>
      <c r="N42"/>
    </row>
    <row r="43" spans="1:14" customHeight="1" ht="18">
      <c r="B43" s="101">
        <v>7</v>
      </c>
      <c r="C43" s="96" t="s">
        <v>74</v>
      </c>
      <c r="D43" s="96"/>
      <c r="E43" s="96"/>
      <c r="F43" s="96">
        <f>'2'!I10</f>
        <v>161</v>
      </c>
      <c r="G43" s="97">
        <f>'2'!I8</f>
        <v>8.4658385093168</v>
      </c>
      <c r="H43" s="96"/>
      <c r="I43" s="97">
        <f>'2'!I46</f>
        <v>14.992929142006</v>
      </c>
      <c r="J43" s="97">
        <f>'2'!I44</f>
        <v>2413.8615918629</v>
      </c>
      <c r="K43" s="100">
        <f>'2'!I47</f>
        <v>55.473837825421</v>
      </c>
      <c r="L43"/>
      <c r="N43"/>
    </row>
    <row r="44" spans="1:14" customHeight="1" ht="18">
      <c r="B44" s="101">
        <v>8</v>
      </c>
      <c r="C44" s="96" t="s">
        <v>73</v>
      </c>
      <c r="D44" s="96"/>
      <c r="E44" s="96"/>
      <c r="F44" s="96">
        <f>'2'!J10</f>
        <v>15</v>
      </c>
      <c r="G44" s="97">
        <f>'2'!J8</f>
        <v>9</v>
      </c>
      <c r="H44" s="96"/>
      <c r="I44" s="97">
        <f>'2'!J46</f>
        <v>15.269174120885</v>
      </c>
      <c r="J44" s="97">
        <f>'2'!J44</f>
        <v>229.03761181327</v>
      </c>
      <c r="K44" s="100">
        <f>'2'!J47</f>
        <v>56.495944247274</v>
      </c>
      <c r="L44"/>
      <c r="N44"/>
    </row>
    <row r="45" spans="1:14" customHeight="1" ht="18">
      <c r="B45" s="101">
        <v>9</v>
      </c>
      <c r="C45" s="96" t="s">
        <v>72</v>
      </c>
      <c r="D45" s="96"/>
      <c r="E45" s="96"/>
      <c r="F45" s="96">
        <f>'2'!K10</f>
        <v>8</v>
      </c>
      <c r="G45" s="97">
        <f>'2'!K8</f>
        <v>50</v>
      </c>
      <c r="H45" s="96"/>
      <c r="I45" s="97">
        <f>'2'!K46</f>
        <v>76.908561999949</v>
      </c>
      <c r="J45" s="97">
        <f>'2'!K44</f>
        <v>615.26849599959</v>
      </c>
      <c r="K45" s="100">
        <f>'2'!K47</f>
        <v>284.56167939981</v>
      </c>
      <c r="L45"/>
      <c r="N45"/>
    </row>
    <row r="46" spans="1:14" customHeight="1" ht="18">
      <c r="B46" s="101">
        <v>10</v>
      </c>
      <c r="C46" s="96" t="s">
        <v>71</v>
      </c>
      <c r="D46" s="96"/>
      <c r="E46" s="96"/>
      <c r="F46" s="96">
        <f>'2'!L10</f>
        <v>32</v>
      </c>
      <c r="G46" s="97">
        <f>'2'!L8</f>
        <v>17.015625</v>
      </c>
      <c r="H46" s="96"/>
      <c r="I46" s="97">
        <f>'2'!L46</f>
        <v>26.172945005608</v>
      </c>
      <c r="J46" s="97">
        <f>'2'!L44</f>
        <v>837.53424017944</v>
      </c>
      <c r="K46" s="100">
        <f>'2'!L47</f>
        <v>96.839896520748</v>
      </c>
      <c r="L46"/>
      <c r="N46"/>
    </row>
    <row r="47" spans="1:14" customHeight="1" ht="18">
      <c r="B47" s="101">
        <v>11</v>
      </c>
      <c r="C47" s="96" t="s">
        <v>70</v>
      </c>
      <c r="D47" s="96"/>
      <c r="E47" s="96"/>
      <c r="F47" s="96">
        <f>'2'!M10</f>
        <v>1</v>
      </c>
      <c r="G47" s="97">
        <f>'2'!M8</f>
        <v>300</v>
      </c>
      <c r="H47" s="96"/>
      <c r="I47" s="97">
        <f>'2'!M46</f>
        <v>461.45137199969</v>
      </c>
      <c r="J47" s="97">
        <f>'2'!M44</f>
        <v>461.45137199969</v>
      </c>
      <c r="K47" s="100">
        <f>'2'!M47</f>
        <v>1707.3700763989</v>
      </c>
      <c r="L47"/>
      <c r="N47"/>
    </row>
    <row r="48" spans="1:14" customHeight="1" ht="18">
      <c r="B48" s="101">
        <v>12</v>
      </c>
      <c r="C48" s="96" t="s">
        <v>69</v>
      </c>
      <c r="D48" s="96"/>
      <c r="E48" s="96"/>
      <c r="F48" s="96">
        <f>'2'!N10</f>
        <v>1</v>
      </c>
      <c r="G48" s="97">
        <f>'2'!N8</f>
        <v>180</v>
      </c>
      <c r="H48" s="96"/>
      <c r="I48" s="97">
        <f>'2'!N46</f>
        <v>276.87082319982</v>
      </c>
      <c r="J48" s="97">
        <f>'2'!N44</f>
        <v>276.87082319982</v>
      </c>
      <c r="K48" s="100">
        <f>'2'!N47</f>
        <v>1024.4220458393</v>
      </c>
      <c r="L48"/>
      <c r="N48"/>
    </row>
    <row r="49" spans="1:14" customHeight="1" ht="18">
      <c r="B49" s="102" t="s">
        <v>68</v>
      </c>
      <c r="C49" s="5"/>
      <c r="D49" s="5"/>
      <c r="E49" s="5"/>
      <c r="F49" s="102">
        <f>SUM(F37:F48)</f>
        <v>285</v>
      </c>
      <c r="G49" s="5"/>
      <c r="H49" s="5"/>
      <c r="I49" s="5"/>
      <c r="J49" s="103">
        <f>SUM(J37:J48)</f>
        <v>6526.8587466732</v>
      </c>
      <c r="K49" s="5"/>
      <c r="L49" s="5"/>
      <c r="N49"/>
    </row>
    <row r="50" spans="1:14" customHeight="1" ht="18">
      <c r="B50" s="63" t="s">
        <v>67</v>
      </c>
      <c r="C50" s="63"/>
      <c r="D50" s="63"/>
      <c r="E50" s="63"/>
      <c r="F50" s="63"/>
      <c r="G50" s="63"/>
      <c r="H50" s="63"/>
      <c r="I50" s="63"/>
      <c r="J50" s="63"/>
      <c r="K50" s="63"/>
      <c r="L50" s="63"/>
      <c r="N50"/>
    </row>
    <row r="51" spans="1:14" customHeight="1" ht="18">
      <c r="B51" s="63" t="s">
        <v>66</v>
      </c>
      <c r="C51" s="63"/>
      <c r="D51" s="63"/>
      <c r="E51" s="63"/>
      <c r="F51" s="63"/>
      <c r="G51" s="63"/>
      <c r="H51" s="63"/>
      <c r="I51" s="63"/>
      <c r="J51" s="63"/>
      <c r="K51" s="63"/>
      <c r="L51" s="63"/>
      <c r="N51"/>
    </row>
    <row r="52" spans="1:14" customHeight="1" ht="18">
      <c r="B52" s="63" t="s">
        <v>65</v>
      </c>
      <c r="C52" s="63"/>
      <c r="D52" s="63"/>
      <c r="E52" s="63"/>
      <c r="F52" s="63"/>
      <c r="G52" s="63"/>
      <c r="H52" s="63"/>
      <c r="I52" s="63"/>
      <c r="J52" s="63"/>
      <c r="K52" s="63"/>
      <c r="L52" s="63"/>
      <c r="N52"/>
    </row>
    <row r="53" spans="1:14" customHeight="1" ht="18">
      <c r="B53" s="63" t="s">
        <v>64</v>
      </c>
      <c r="C53" s="63"/>
      <c r="D53" s="63"/>
      <c r="E53" s="63"/>
      <c r="F53" s="63"/>
      <c r="G53" s="63"/>
      <c r="H53" s="63"/>
      <c r="I53" s="63"/>
      <c r="J53" s="63"/>
      <c r="K53" s="63"/>
      <c r="L53" s="63"/>
      <c r="N53"/>
    </row>
    <row r="54" spans="1:14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N54"/>
    </row>
    <row r="55" spans="1:14" customHeight="1" ht="9">
      <c r="B55" s="37"/>
      <c r="C55" s="37"/>
      <c r="E55" s="37"/>
      <c r="F55" s="37"/>
      <c r="G55" s="37"/>
      <c r="H55" s="37"/>
      <c r="I55" s="37"/>
      <c r="J55" s="37"/>
      <c r="K55" s="37"/>
      <c r="L55" s="37"/>
      <c r="M55" s="37"/>
      <c r="N55"/>
    </row>
    <row r="56" spans="1:14" customHeight="1" ht="31.8">
      <c r="B56" s="37"/>
      <c r="C56" s="37"/>
      <c r="D56" s="36" t="s">
        <v>0</v>
      </c>
      <c r="E56" s="36"/>
      <c r="F56" s="36"/>
      <c r="G56" s="36"/>
      <c r="H56" s="36"/>
      <c r="I56" s="36"/>
      <c r="J56" s="36"/>
      <c r="K56" s="36"/>
      <c r="L56" s="36"/>
      <c r="M56" s="36"/>
      <c r="N56"/>
    </row>
    <row r="57" spans="1:14" customHeight="1" ht="21">
      <c r="B57" s="37"/>
      <c r="C57" s="37"/>
      <c r="D57" s="52" t="s">
        <v>63</v>
      </c>
      <c r="E57" s="52"/>
      <c r="F57" s="52"/>
      <c r="G57" s="52"/>
      <c r="H57" s="52"/>
      <c r="I57" s="52"/>
      <c r="N57"/>
    </row>
    <row r="58" spans="1:14">
      <c r="B58" s="37"/>
      <c r="C58" s="37"/>
      <c r="N58"/>
    </row>
    <row r="59" spans="1:14">
      <c r="B59" s="37"/>
      <c r="C59" s="37"/>
      <c r="N59"/>
    </row>
    <row r="60" spans="1:14" customHeight="1" ht="21">
      <c r="B60" s="69" t="s">
        <v>62</v>
      </c>
      <c r="C60" s="69"/>
      <c r="D60" s="69"/>
      <c r="E60" s="69"/>
      <c r="F60" s="69"/>
      <c r="G60" s="69"/>
      <c r="H60" s="69"/>
      <c r="I60" s="69"/>
      <c r="J60" s="69"/>
      <c r="K60" s="69"/>
      <c r="L60" s="69"/>
      <c r="N60"/>
    </row>
    <row r="61" spans="1:14">
      <c r="N61"/>
    </row>
    <row r="62" spans="1:14">
      <c r="B62" s="70" t="s">
        <v>61</v>
      </c>
      <c r="C62" s="70"/>
      <c r="D62" s="70"/>
      <c r="E62" s="70"/>
      <c r="F62" s="70"/>
      <c r="G62" s="70"/>
      <c r="H62" s="70"/>
      <c r="I62" s="70"/>
      <c r="J62" s="70"/>
      <c r="K62" s="70"/>
      <c r="L62" s="70"/>
      <c r="N62"/>
    </row>
    <row r="63" spans="1:14">
      <c r="B63" s="70" t="s">
        <v>60</v>
      </c>
      <c r="C63" s="70"/>
      <c r="D63" s="70"/>
      <c r="E63" s="70"/>
      <c r="F63" s="70"/>
      <c r="G63" s="70"/>
      <c r="H63" s="70"/>
      <c r="I63" s="70"/>
      <c r="J63" s="70"/>
      <c r="K63" s="70"/>
      <c r="L63" s="70"/>
      <c r="N63"/>
    </row>
    <row r="64" spans="1:14">
      <c r="B64" s="48" t="s">
        <v>59</v>
      </c>
      <c r="C64" s="48"/>
      <c r="D64" s="48"/>
      <c r="E64" s="48"/>
      <c r="F64" s="48"/>
      <c r="G64" s="48"/>
      <c r="H64" s="48"/>
      <c r="I64" s="48"/>
      <c r="J64" s="48"/>
      <c r="K64" s="48"/>
      <c r="L64" s="48"/>
      <c r="N64"/>
    </row>
    <row r="65" spans="1:14">
      <c r="B65" s="70" t="s">
        <v>58</v>
      </c>
      <c r="C65" s="70"/>
      <c r="D65" s="70"/>
      <c r="E65" s="70"/>
      <c r="F65" s="70"/>
      <c r="G65" s="70"/>
      <c r="H65" s="70"/>
      <c r="I65" s="70"/>
      <c r="J65" s="70"/>
      <c r="K65" s="70"/>
      <c r="L65" s="70"/>
      <c r="N65"/>
    </row>
    <row r="66" spans="1:14">
      <c r="B66" s="70" t="s">
        <v>57</v>
      </c>
      <c r="C66" s="70"/>
      <c r="D66" s="70"/>
      <c r="E66" s="70"/>
      <c r="F66" s="70"/>
      <c r="G66" s="70"/>
      <c r="H66" s="70"/>
      <c r="I66" s="70"/>
      <c r="J66" s="70"/>
      <c r="K66" s="70"/>
      <c r="L66" s="70"/>
      <c r="N66"/>
    </row>
    <row r="67" spans="1:14">
      <c r="B67" s="48" t="s">
        <v>56</v>
      </c>
      <c r="C67" s="48"/>
      <c r="D67" s="48"/>
      <c r="E67" s="48"/>
      <c r="F67" s="48"/>
      <c r="G67" s="48"/>
      <c r="H67" s="48"/>
      <c r="I67" s="48"/>
      <c r="J67" s="48"/>
      <c r="K67" s="48"/>
      <c r="L67" s="48"/>
      <c r="N67"/>
    </row>
    <row r="68" spans="1:14">
      <c r="B68" s="70" t="s">
        <v>55</v>
      </c>
      <c r="C68" s="70"/>
      <c r="D68" s="70"/>
      <c r="E68" s="70"/>
      <c r="F68" s="70"/>
      <c r="G68" s="70"/>
      <c r="H68" s="70"/>
      <c r="I68" s="70"/>
      <c r="J68" s="70"/>
      <c r="K68" s="70"/>
      <c r="L68" s="70"/>
      <c r="N68"/>
    </row>
    <row r="69" spans="1:14">
      <c r="B69" s="70" t="s">
        <v>54</v>
      </c>
      <c r="C69" s="70"/>
      <c r="D69" s="70"/>
      <c r="E69" s="70"/>
      <c r="F69" s="70"/>
      <c r="G69" s="70"/>
      <c r="H69" s="70"/>
      <c r="I69" s="70"/>
      <c r="J69" s="70"/>
      <c r="K69" s="70"/>
      <c r="L69" s="70"/>
      <c r="N69"/>
    </row>
    <row r="70" spans="1:14">
      <c r="B70" s="70" t="s">
        <v>53</v>
      </c>
      <c r="C70" s="70"/>
      <c r="D70" s="70"/>
      <c r="E70" s="70"/>
      <c r="F70" s="70"/>
      <c r="G70" s="70"/>
      <c r="H70" s="70"/>
      <c r="I70" s="70"/>
      <c r="J70" s="70"/>
      <c r="K70" s="70"/>
      <c r="L70" s="70"/>
      <c r="N70"/>
    </row>
    <row r="71" spans="1:14">
      <c r="B71" s="70" t="s">
        <v>52</v>
      </c>
      <c r="C71" s="70"/>
      <c r="D71" s="70"/>
      <c r="E71" s="70"/>
      <c r="F71" s="70"/>
      <c r="G71" s="70"/>
      <c r="H71" s="70"/>
      <c r="I71" s="70"/>
      <c r="J71" s="70"/>
      <c r="K71" s="70"/>
      <c r="L71" s="70"/>
      <c r="N71"/>
    </row>
    <row r="72" spans="1:14">
      <c r="B72" s="70" t="s">
        <v>51</v>
      </c>
      <c r="C72" s="70"/>
      <c r="D72" s="70"/>
      <c r="E72" s="70"/>
      <c r="F72" s="70"/>
      <c r="G72" s="70"/>
      <c r="H72" s="70"/>
      <c r="I72" s="70"/>
      <c r="J72" s="70"/>
      <c r="K72" s="70"/>
      <c r="L72" s="70"/>
      <c r="N72"/>
    </row>
    <row r="73" spans="1:14">
      <c r="B73" s="70" t="s">
        <v>50</v>
      </c>
      <c r="C73" s="70"/>
      <c r="D73" s="70"/>
      <c r="E73" s="70"/>
      <c r="F73" s="70"/>
      <c r="G73" s="70"/>
      <c r="H73" s="70"/>
      <c r="I73" s="70"/>
      <c r="J73" s="70"/>
      <c r="K73" s="70"/>
      <c r="L73" s="70"/>
      <c r="N73"/>
    </row>
    <row r="74" spans="1:14">
      <c r="B74" s="70" t="s">
        <v>49</v>
      </c>
      <c r="C74" s="70"/>
      <c r="D74" s="70"/>
      <c r="E74" s="70"/>
      <c r="F74" s="70"/>
      <c r="G74" s="70"/>
      <c r="H74" s="70"/>
      <c r="I74" s="70"/>
      <c r="J74" s="70"/>
      <c r="K74" s="70"/>
      <c r="L74" s="70"/>
      <c r="N74"/>
    </row>
    <row r="75" spans="1:14">
      <c r="B75" s="70" t="s">
        <v>48</v>
      </c>
      <c r="C75" s="70"/>
      <c r="D75" s="70"/>
      <c r="E75" s="70"/>
      <c r="F75" s="70"/>
      <c r="G75" s="70"/>
      <c r="H75" s="70"/>
      <c r="I75" s="70"/>
      <c r="J75" s="70"/>
      <c r="K75" s="70"/>
      <c r="L75" s="70"/>
      <c r="N75"/>
    </row>
    <row r="76" spans="1:14">
      <c r="B76" s="70" t="s">
        <v>47</v>
      </c>
      <c r="C76" s="70"/>
      <c r="D76" s="70"/>
      <c r="E76" s="70"/>
      <c r="F76" s="70"/>
      <c r="G76" s="70"/>
      <c r="H76" s="70"/>
      <c r="I76" s="70"/>
      <c r="J76" s="70"/>
      <c r="K76" s="70"/>
      <c r="L76" s="70"/>
      <c r="N76"/>
    </row>
    <row r="77" spans="1:14">
      <c r="B77" s="70" t="s">
        <v>46</v>
      </c>
      <c r="C77" s="70"/>
      <c r="D77" s="70"/>
      <c r="E77" s="70"/>
      <c r="F77" s="70"/>
      <c r="G77" s="70"/>
      <c r="H77" s="70"/>
      <c r="I77" s="70"/>
      <c r="J77" s="70"/>
      <c r="K77" s="70"/>
      <c r="L77" s="70"/>
      <c r="N77"/>
    </row>
    <row r="78" spans="1:14">
      <c r="B78" s="70" t="s">
        <v>45</v>
      </c>
      <c r="C78" s="70"/>
      <c r="D78" s="70"/>
      <c r="E78" s="70"/>
      <c r="F78" s="70"/>
      <c r="G78" s="70"/>
      <c r="H78" s="70"/>
      <c r="I78" s="70"/>
      <c r="J78" s="70"/>
      <c r="K78" s="70"/>
      <c r="L78" s="70"/>
      <c r="N78"/>
    </row>
    <row r="79" spans="1:14">
      <c r="B79" s="66" t="s">
        <v>44</v>
      </c>
      <c r="C79" s="66"/>
      <c r="D79" s="66"/>
      <c r="E79" s="66"/>
      <c r="F79" s="66"/>
      <c r="G79" s="66"/>
      <c r="H79" s="66"/>
      <c r="I79" s="66"/>
      <c r="J79" s="66"/>
      <c r="K79" s="66"/>
      <c r="L79" s="66"/>
      <c r="N79"/>
    </row>
    <row r="80" spans="1:14">
      <c r="B80" s="70" t="s">
        <v>43</v>
      </c>
      <c r="C80" s="70"/>
      <c r="D80" s="70"/>
      <c r="E80" s="70"/>
      <c r="F80" s="70"/>
      <c r="G80" s="70"/>
      <c r="H80" s="70"/>
      <c r="I80" s="70"/>
      <c r="J80" s="70"/>
      <c r="K80" s="70"/>
      <c r="L80" s="70"/>
      <c r="N80"/>
    </row>
    <row r="81" spans="1:14">
      <c r="B81" s="66" t="s">
        <v>42</v>
      </c>
      <c r="C81" s="66"/>
      <c r="D81" s="66"/>
      <c r="E81" s="66"/>
      <c r="F81" s="66"/>
      <c r="G81" s="66"/>
      <c r="H81" s="66"/>
      <c r="I81" s="66"/>
      <c r="J81" s="66"/>
      <c r="K81" s="66"/>
      <c r="L81" s="66"/>
      <c r="N81"/>
    </row>
    <row r="82" spans="1:14">
      <c r="B82" s="70" t="s">
        <v>41</v>
      </c>
      <c r="C82" s="70"/>
      <c r="D82" s="70"/>
      <c r="E82" s="70"/>
      <c r="F82" s="70"/>
      <c r="G82" s="70"/>
      <c r="H82" s="70"/>
      <c r="I82" s="70"/>
      <c r="J82" s="70"/>
      <c r="K82" s="70"/>
      <c r="L82" s="70"/>
      <c r="N82"/>
    </row>
    <row r="83" spans="1:14">
      <c r="B83" s="70" t="s">
        <v>40</v>
      </c>
      <c r="C83" s="70"/>
      <c r="D83" s="70"/>
      <c r="E83" s="70"/>
      <c r="F83" s="70"/>
      <c r="G83" s="70"/>
      <c r="H83" s="70"/>
      <c r="I83" s="70"/>
      <c r="J83" s="70"/>
      <c r="K83" s="70"/>
      <c r="L83" s="70"/>
      <c r="N83"/>
    </row>
    <row r="84" spans="1:14">
      <c r="B84" s="70" t="s">
        <v>39</v>
      </c>
      <c r="C84" s="70"/>
      <c r="D84" s="70"/>
      <c r="E84" s="70"/>
      <c r="F84" s="70"/>
      <c r="G84" s="70"/>
      <c r="H84" s="70"/>
      <c r="I84" s="70"/>
      <c r="J84" s="70"/>
      <c r="K84" s="70"/>
      <c r="L84" s="70"/>
      <c r="N84"/>
    </row>
    <row r="85" spans="1:14">
      <c r="B85" s="70" t="s">
        <v>38</v>
      </c>
      <c r="C85" s="70"/>
      <c r="D85" s="70"/>
      <c r="E85" s="70"/>
      <c r="F85" s="70"/>
      <c r="G85" s="70"/>
      <c r="H85" s="70"/>
      <c r="I85" s="70"/>
      <c r="J85" s="70"/>
      <c r="K85" s="70"/>
      <c r="L85" s="70"/>
      <c r="N85"/>
    </row>
    <row r="86" spans="1:14">
      <c r="B86" s="70" t="s">
        <v>37</v>
      </c>
      <c r="C86" s="70"/>
      <c r="D86" s="70"/>
      <c r="E86" s="70"/>
      <c r="F86" s="70"/>
      <c r="G86" s="70"/>
      <c r="H86" s="70"/>
      <c r="I86" s="70"/>
      <c r="J86" s="70"/>
      <c r="K86" s="70"/>
      <c r="L86" s="70"/>
      <c r="N86"/>
    </row>
    <row r="87" spans="1:14">
      <c r="A87" s="31"/>
      <c r="B87" s="71" t="s">
        <v>36</v>
      </c>
      <c r="C87" s="71"/>
      <c r="D87" s="71"/>
      <c r="E87" s="71"/>
      <c r="F87" s="71"/>
      <c r="G87" s="71"/>
      <c r="H87" s="71"/>
      <c r="I87" s="71"/>
      <c r="J87" s="71"/>
      <c r="K87" s="71"/>
      <c r="L87" s="71"/>
      <c r="N87"/>
    </row>
    <row r="88" spans="1:14">
      <c r="A88" s="31"/>
      <c r="B88" s="70" t="s">
        <v>35</v>
      </c>
      <c r="C88" s="70"/>
      <c r="D88" s="70"/>
      <c r="E88" s="70"/>
      <c r="F88" s="70"/>
      <c r="G88" s="70"/>
      <c r="H88" s="70"/>
      <c r="I88" s="70"/>
      <c r="J88" s="70"/>
      <c r="K88" s="70"/>
      <c r="L88" s="70"/>
      <c r="N88"/>
    </row>
    <row r="89" spans="1:14">
      <c r="A89" s="31"/>
      <c r="B89" s="71" t="s">
        <v>34</v>
      </c>
      <c r="C89" s="71"/>
      <c r="D89" s="71"/>
      <c r="E89" s="71"/>
      <c r="F89" s="71"/>
      <c r="G89" s="71"/>
      <c r="H89" s="71"/>
      <c r="I89" s="71"/>
      <c r="J89" s="71"/>
      <c r="K89" s="71"/>
      <c r="L89" s="71"/>
      <c r="N89"/>
    </row>
    <row r="90" spans="1:14">
      <c r="N90"/>
    </row>
    <row r="91" spans="1:14">
      <c r="C91" s="37"/>
      <c r="D91" s="37"/>
      <c r="E91" s="37"/>
      <c r="F91" s="37"/>
      <c r="G91" s="37"/>
      <c r="H91" s="37"/>
      <c r="I91" s="37"/>
      <c r="N91"/>
    </row>
    <row r="92" spans="1:14">
      <c r="C92" s="37"/>
      <c r="D92" s="37"/>
      <c r="E92" s="37"/>
      <c r="F92" s="37"/>
      <c r="G92" s="37"/>
      <c r="H92" s="37"/>
      <c r="I92" s="37"/>
      <c r="N92"/>
    </row>
    <row r="93" spans="1:14">
      <c r="C93" s="37"/>
      <c r="D93" s="37"/>
      <c r="E93" s="37"/>
      <c r="F93" s="37"/>
      <c r="G93" s="37"/>
      <c r="H93" s="37"/>
      <c r="I93" s="37"/>
      <c r="N93"/>
    </row>
    <row r="94" spans="1:14">
      <c r="C94" s="37"/>
      <c r="D94" s="37"/>
      <c r="E94" s="37"/>
      <c r="F94" s="37"/>
      <c r="G94" s="37"/>
      <c r="H94" s="37"/>
      <c r="I94" s="37"/>
      <c r="N94"/>
    </row>
    <row r="95" spans="1:14">
      <c r="C95" s="37"/>
      <c r="D95" s="37"/>
      <c r="E95" s="37"/>
      <c r="F95" s="37"/>
      <c r="G95" s="37"/>
      <c r="H95" s="37"/>
      <c r="I95" s="37"/>
      <c r="N95"/>
    </row>
    <row r="96" spans="1:14">
      <c r="C96" s="37"/>
      <c r="D96" s="37"/>
      <c r="E96" s="37"/>
      <c r="F96" s="37"/>
      <c r="G96" s="37"/>
      <c r="H96" s="37"/>
      <c r="I96" s="37"/>
      <c r="N96"/>
    </row>
    <row r="97" spans="1:14">
      <c r="C97" s="37"/>
      <c r="D97" s="37"/>
      <c r="E97" s="37"/>
      <c r="F97" s="37"/>
      <c r="G97" s="37"/>
      <c r="H97" s="37"/>
      <c r="I97" s="37"/>
      <c r="N97"/>
    </row>
    <row r="98" spans="1:14" customHeight="1" ht="15.6">
      <c r="C98" s="37"/>
      <c r="D98" s="37"/>
      <c r="E98" s="37"/>
      <c r="F98" s="37"/>
      <c r="G98" s="37"/>
      <c r="H98" s="37"/>
      <c r="I98" s="37"/>
      <c r="N98"/>
    </row>
    <row r="99" spans="1:14" customHeight="1" ht="15.6">
      <c r="C99" s="37"/>
      <c r="D99" s="37"/>
      <c r="E99" s="37"/>
      <c r="F99" s="37"/>
      <c r="G99" s="37"/>
      <c r="H99" s="37"/>
      <c r="I99" s="37"/>
      <c r="N99"/>
    </row>
    <row r="100" spans="1:14">
      <c r="C100" s="37"/>
      <c r="D100" s="37"/>
      <c r="E100" s="37"/>
      <c r="F100" s="37"/>
      <c r="G100" s="37"/>
      <c r="H100" s="37"/>
      <c r="I100" s="37"/>
      <c r="N100"/>
    </row>
    <row r="101" spans="1:14">
      <c r="N101"/>
    </row>
    <row r="102" spans="1:14">
      <c r="N102"/>
    </row>
    <row r="103" spans="1:14">
      <c r="N103"/>
    </row>
    <row r="104" spans="1:14">
      <c r="N104"/>
    </row>
    <row r="105" spans="1:14">
      <c r="N105"/>
    </row>
    <row r="106" spans="1:14" customHeight="1" ht="15.6">
      <c r="N106"/>
    </row>
  </sheetData>
  <sheetProtection selectLockedCells="1"/>
  <mergeCells>
    <mergeCell ref="B79:L79"/>
    <mergeCell ref="B80:L80"/>
    <mergeCell ref="A7:C7"/>
    <mergeCell ref="I7:L7"/>
    <mergeCell ref="B64:L64"/>
    <mergeCell ref="B53:L53"/>
    <mergeCell ref="C39:E39"/>
    <mergeCell ref="K39:L39"/>
    <mergeCell ref="B62:L62"/>
    <mergeCell ref="B75:L75"/>
    <mergeCell ref="B63:L63"/>
    <mergeCell ref="G38:H38"/>
    <mergeCell ref="J11:L11"/>
    <mergeCell ref="B89:L89"/>
    <mergeCell ref="B72:L72"/>
    <mergeCell ref="B73:L73"/>
    <mergeCell ref="B74:L74"/>
    <mergeCell ref="B65:L65"/>
    <mergeCell ref="B66:L66"/>
    <mergeCell ref="B67:L67"/>
    <mergeCell ref="B68:L68"/>
    <mergeCell ref="B69:L69"/>
    <mergeCell ref="B70:L70"/>
    <mergeCell ref="B71:L71"/>
    <mergeCell ref="B76:L76"/>
    <mergeCell ref="B77:L77"/>
    <mergeCell ref="B78:L78"/>
    <mergeCell ref="B88:L88"/>
    <mergeCell ref="B87:L87"/>
    <mergeCell ref="B86:L86"/>
    <mergeCell ref="B81:L81"/>
    <mergeCell ref="B82:L82"/>
    <mergeCell ref="B83:L83"/>
    <mergeCell ref="B84:L84"/>
    <mergeCell ref="B85:L85"/>
    <mergeCell ref="B55:C59"/>
    <mergeCell ref="B19:F19"/>
    <mergeCell ref="C36:E36"/>
    <mergeCell ref="B60:L60"/>
    <mergeCell ref="B51:L51"/>
    <mergeCell ref="G39:H39"/>
    <mergeCell ref="K38:L38"/>
    <mergeCell ref="C38:E38"/>
    <mergeCell ref="B28:I28"/>
    <mergeCell ref="B24:I24"/>
    <mergeCell ref="B20:I20"/>
    <mergeCell ref="B21:I21"/>
    <mergeCell ref="B22:I22"/>
    <mergeCell ref="D56:J56"/>
    <mergeCell ref="B32:J32"/>
    <mergeCell ref="B27:I27"/>
    <mergeCell ref="B12:L12"/>
    <mergeCell ref="B13:J13"/>
    <mergeCell ref="B14:J14"/>
    <mergeCell ref="B16:J16"/>
    <mergeCell ref="B15:J15"/>
    <mergeCell ref="C91:I100"/>
    <mergeCell ref="A1:L1"/>
    <mergeCell ref="E2:L2"/>
    <mergeCell ref="D57:I57"/>
    <mergeCell ref="E3:J3"/>
    <mergeCell ref="E4:J4"/>
    <mergeCell ref="K37:L37"/>
    <mergeCell ref="C37:E37"/>
    <mergeCell ref="G37:H37"/>
    <mergeCell ref="G36:H36"/>
    <mergeCell ref="B35:L35"/>
    <mergeCell ref="J8:L8"/>
    <mergeCell ref="J10:L10"/>
    <mergeCell ref="B52:L52"/>
    <mergeCell ref="B50:L50"/>
    <mergeCell ref="F11:G11"/>
    <mergeCell ref="K56:M56"/>
    <mergeCell ref="E55:M55"/>
    <mergeCell ref="J9:L9"/>
    <mergeCell ref="B2:C6"/>
    <mergeCell ref="E7:G7"/>
    <mergeCell ref="F9:G9"/>
    <mergeCell ref="F10:G10"/>
    <mergeCell ref="F8:G8"/>
    <mergeCell ref="K36:L36"/>
    <mergeCell ref="B26:I26"/>
    <mergeCell ref="B25:I25"/>
    <mergeCell ref="B34:L34"/>
    <mergeCell ref="B33:J33"/>
    <mergeCell ref="B29:J29"/>
    <mergeCell ref="B30:J30"/>
    <mergeCell ref="B31:J31"/>
    <mergeCell ref="C8:C9"/>
    <mergeCell ref="C40:E40"/>
    <mergeCell ref="G40:H40"/>
    <mergeCell ref="K40:L40"/>
    <mergeCell ref="C41:E41"/>
    <mergeCell ref="G41:H41"/>
    <mergeCell ref="K41:L41"/>
    <mergeCell ref="C42:E42"/>
    <mergeCell ref="G42:H42"/>
    <mergeCell ref="K42:L42"/>
    <mergeCell ref="C43:E43"/>
    <mergeCell ref="G43:H43"/>
    <mergeCell ref="K43:L43"/>
    <mergeCell ref="C44:E44"/>
    <mergeCell ref="G44:H44"/>
    <mergeCell ref="K44:L44"/>
    <mergeCell ref="C45:E45"/>
    <mergeCell ref="G45:H45"/>
    <mergeCell ref="K45:L45"/>
    <mergeCell ref="C46:E46"/>
    <mergeCell ref="G46:H46"/>
    <mergeCell ref="K46:L46"/>
    <mergeCell ref="C47:E47"/>
    <mergeCell ref="G47:H47"/>
    <mergeCell ref="K47:L47"/>
    <mergeCell ref="C48:E48"/>
    <mergeCell ref="G48:H48"/>
    <mergeCell ref="K48:L48"/>
    <mergeCell ref="B49:E4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54" man="1"/>
  </rowBreak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7"/>
  <sheetViews>
    <sheetView tabSelected="0" workbookViewId="0" showGridLines="true" showRowColHeaders="1">
      <selection activeCell="O44" sqref="O44"/>
    </sheetView>
  </sheetViews>
  <sheetFormatPr defaultRowHeight="14.4" outlineLevelRow="0" outlineLevelCol="0"/>
  <cols>
    <col min="2" max="2" width="24.708" bestFit="true" customWidth="true" style="0"/>
    <col min="3" max="3" width="45.846" bestFit="true" customWidth="true" style="0"/>
    <col min="4" max="4" width="25.851" bestFit="true" customWidth="true" style="0"/>
    <col min="5" max="5" width="34.135" bestFit="true" customWidth="true" style="0"/>
    <col min="6" max="6" width="42.418" bestFit="true" customWidth="true" style="0"/>
    <col min="7" max="7" width="25.851" bestFit="true" customWidth="true" style="0"/>
    <col min="8" max="8" width="25.851" bestFit="true" customWidth="true" style="0"/>
    <col min="9" max="9" width="28.136" bestFit="true" customWidth="true" style="0"/>
    <col min="10" max="10" width="34.135" bestFit="true" customWidth="true" style="0"/>
    <col min="11" max="11" width="34.135" bestFit="true" customWidth="true" style="0"/>
    <col min="12" max="12" width="29.421" bestFit="true" customWidth="true" style="0"/>
    <col min="13" max="13" width="32.992" bestFit="true" customWidth="true" style="0"/>
    <col min="14" max="14" width="43.561" bestFit="true" customWidth="true" style="0"/>
    <col min="15" max="15" width="11.711" bestFit="true" customWidth="true" style="0"/>
  </cols>
  <sheetData>
    <row r="3" spans="1:19">
      <c r="B3" s="74" t="s">
        <v>97</v>
      </c>
      <c r="C3"/>
      <c r="D3"/>
      <c r="E3"/>
      <c r="F3"/>
      <c r="G3"/>
    </row>
    <row r="5" spans="1:19">
      <c r="B5" s="76" t="s">
        <v>98</v>
      </c>
      <c r="C5" s="75" t="s">
        <v>80</v>
      </c>
      <c r="D5" s="75" t="s">
        <v>79</v>
      </c>
      <c r="E5" s="75" t="s">
        <v>78</v>
      </c>
      <c r="F5" s="75" t="s">
        <v>77</v>
      </c>
      <c r="G5" s="75" t="s">
        <v>76</v>
      </c>
      <c r="H5" s="75" t="s">
        <v>75</v>
      </c>
      <c r="I5" s="75" t="s">
        <v>74</v>
      </c>
      <c r="J5" s="75" t="s">
        <v>73</v>
      </c>
      <c r="K5" s="75" t="s">
        <v>72</v>
      </c>
      <c r="L5" s="75" t="s">
        <v>71</v>
      </c>
      <c r="M5" s="75" t="s">
        <v>70</v>
      </c>
      <c r="N5" s="75" t="s">
        <v>69</v>
      </c>
      <c r="O5" s="75" t="s">
        <v>115</v>
      </c>
    </row>
    <row r="6" spans="1:19">
      <c r="B6" t="s">
        <v>99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s="80">
        <v>1.23</v>
      </c>
      <c r="R6" s="79" t="s">
        <v>113</v>
      </c>
      <c r="S6" s="79" t="s">
        <v>114</v>
      </c>
    </row>
    <row r="7" spans="1:19">
      <c r="B7" t="s">
        <v>100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s="81">
        <v>3.16</v>
      </c>
      <c r="R7" s="79" t="s">
        <v>19</v>
      </c>
      <c r="S7" s="79">
        <v>343.87</v>
      </c>
    </row>
    <row r="8" spans="1:19">
      <c r="B8" t="s">
        <v>101</v>
      </c>
      <c r="C8" s="78">
        <v>3</v>
      </c>
      <c r="D8" s="78">
        <v>20.04</v>
      </c>
      <c r="E8" s="78">
        <v>16.875</v>
      </c>
      <c r="F8" s="78">
        <v>30</v>
      </c>
      <c r="G8" s="78">
        <v>5</v>
      </c>
      <c r="H8" s="78">
        <v>30</v>
      </c>
      <c r="I8" s="78">
        <v>8.4658385093168</v>
      </c>
      <c r="J8" s="78">
        <v>9</v>
      </c>
      <c r="K8" s="78">
        <v>50</v>
      </c>
      <c r="L8" s="78">
        <v>17.015625</v>
      </c>
      <c r="M8" s="78">
        <v>300</v>
      </c>
      <c r="N8" s="78">
        <v>180</v>
      </c>
      <c r="O8"/>
    </row>
    <row r="9" spans="1:19">
      <c r="B9" s="77" t="s">
        <v>102</v>
      </c>
      <c r="C9" s="78">
        <v>0</v>
      </c>
      <c r="D9" s="78">
        <v>0</v>
      </c>
      <c r="E9" s="78">
        <v>0</v>
      </c>
      <c r="F9" s="78">
        <v>0</v>
      </c>
      <c r="G9" s="78">
        <v>0</v>
      </c>
      <c r="H9" s="78">
        <v>0</v>
      </c>
      <c r="I9" s="78">
        <v>0</v>
      </c>
      <c r="J9" s="78">
        <v>0</v>
      </c>
      <c r="K9" s="78">
        <v>0</v>
      </c>
      <c r="L9" s="78">
        <v>0</v>
      </c>
      <c r="M9" s="78">
        <v>0</v>
      </c>
      <c r="N9" s="78">
        <v>0</v>
      </c>
      <c r="O9"/>
    </row>
    <row r="10" spans="1:19">
      <c r="B10" t="s">
        <v>103</v>
      </c>
      <c r="C10">
        <v>2</v>
      </c>
      <c r="D10">
        <v>25</v>
      </c>
      <c r="E10">
        <v>16</v>
      </c>
      <c r="F10">
        <v>2</v>
      </c>
      <c r="G10">
        <v>20</v>
      </c>
      <c r="H10">
        <v>2</v>
      </c>
      <c r="I10">
        <v>161</v>
      </c>
      <c r="J10">
        <v>15</v>
      </c>
      <c r="K10">
        <v>8</v>
      </c>
      <c r="L10">
        <v>32</v>
      </c>
      <c r="M10">
        <v>1</v>
      </c>
      <c r="N10">
        <v>1</v>
      </c>
      <c r="O10">
        <f>SUM(C10:N10)</f>
        <v>285</v>
      </c>
    </row>
    <row r="11" spans="1:19">
      <c r="B11" t="s">
        <v>104</v>
      </c>
      <c r="C11" s="78">
        <f>C8*C10</f>
        <v>6</v>
      </c>
      <c r="D11" s="78">
        <f>D8*D10</f>
        <v>501</v>
      </c>
      <c r="E11" s="78">
        <f>E8*E10</f>
        <v>270</v>
      </c>
      <c r="F11" s="78">
        <f>F8*F10</f>
        <v>60</v>
      </c>
      <c r="G11" s="78">
        <f>G8*G10</f>
        <v>100</v>
      </c>
      <c r="H11" s="78">
        <f>H8*H10</f>
        <v>60</v>
      </c>
      <c r="I11" s="78">
        <f>I8*I10</f>
        <v>1363</v>
      </c>
      <c r="J11" s="78">
        <f>J8*J10</f>
        <v>135</v>
      </c>
      <c r="K11" s="78">
        <f>K8*K10</f>
        <v>400</v>
      </c>
      <c r="L11" s="78">
        <f>L8*L10</f>
        <v>544.5</v>
      </c>
      <c r="M11" s="78">
        <f>M8*M10</f>
        <v>300</v>
      </c>
      <c r="N11" s="78">
        <f>N8*N10</f>
        <v>180</v>
      </c>
      <c r="O11">
        <f>SUM(C11:N11)</f>
        <v>3919.5</v>
      </c>
    </row>
    <row r="12" spans="1:19">
      <c r="B12" s="77" t="s">
        <v>105</v>
      </c>
      <c r="C12" s="78">
        <f>C10*C9</f>
        <v>0</v>
      </c>
      <c r="D12" s="78">
        <f>D10*D9</f>
        <v>0</v>
      </c>
      <c r="E12" s="78">
        <f>E10*E9</f>
        <v>0</v>
      </c>
      <c r="F12" s="78">
        <f>F10*F9</f>
        <v>0</v>
      </c>
      <c r="G12" s="78">
        <f>G10*G9</f>
        <v>0</v>
      </c>
      <c r="H12" s="78">
        <f>H10*H9</f>
        <v>0</v>
      </c>
      <c r="I12" s="78">
        <f>I10*I9</f>
        <v>0</v>
      </c>
      <c r="J12" s="78">
        <f>J10*J9</f>
        <v>0</v>
      </c>
      <c r="K12" s="78">
        <f>K10*K9</f>
        <v>0</v>
      </c>
      <c r="L12" s="78">
        <f>L10*L9</f>
        <v>0</v>
      </c>
      <c r="M12" s="78">
        <f>M10*M9</f>
        <v>0</v>
      </c>
      <c r="N12" s="78">
        <f>N10*N9</f>
        <v>0</v>
      </c>
      <c r="O12"/>
    </row>
    <row r="13" spans="1:19">
      <c r="B13" t="s">
        <v>106</v>
      </c>
      <c r="C13" s="82">
        <f>C11/O11</f>
        <v>0.0015308075009568</v>
      </c>
      <c r="D13" s="82">
        <f>D11/O11</f>
        <v>0.12782242632989</v>
      </c>
      <c r="E13" s="82">
        <f>E11/O11</f>
        <v>0.068886337543054</v>
      </c>
      <c r="F13" s="82">
        <f>F11/O11</f>
        <v>0.015308075009568</v>
      </c>
      <c r="G13" s="82">
        <f>G11/O11</f>
        <v>0.025513458349279</v>
      </c>
      <c r="H13" s="82">
        <f>H11/O11</f>
        <v>0.015308075009568</v>
      </c>
      <c r="I13" s="82">
        <f>I11/O11</f>
        <v>0.34774843730068</v>
      </c>
      <c r="J13" s="82">
        <f>J11/O11</f>
        <v>0.034443168771527</v>
      </c>
      <c r="K13" s="82">
        <f>K11/O11</f>
        <v>0.10205383339712</v>
      </c>
      <c r="L13" s="82">
        <f>L11/O11</f>
        <v>0.13892078071183</v>
      </c>
      <c r="M13" s="82">
        <f>M11/O11</f>
        <v>0.076540375047838</v>
      </c>
      <c r="N13" s="82">
        <f>N11/O11</f>
        <v>0.045924225028703</v>
      </c>
      <c r="O13"/>
    </row>
    <row r="14" spans="1:19">
      <c r="B14" t="s">
        <v>107</v>
      </c>
      <c r="C14" s="78">
        <f>O14*C13</f>
        <v>0.99805207807118</v>
      </c>
      <c r="D14" s="78">
        <f>O14*D13</f>
        <v>83.337348518944</v>
      </c>
      <c r="E14" s="78">
        <f>O14*E13</f>
        <v>44.912343513203</v>
      </c>
      <c r="F14" s="78">
        <f>O14*F13</f>
        <v>9.9805207807118</v>
      </c>
      <c r="G14" s="78">
        <f>O14*G13</f>
        <v>16.634201301186</v>
      </c>
      <c r="H14" s="78">
        <f>O14*H13</f>
        <v>9.9805207807118</v>
      </c>
      <c r="I14" s="78">
        <f>O14*I13</f>
        <v>226.72416373517</v>
      </c>
      <c r="J14" s="78">
        <f>O14*J13</f>
        <v>22.456171756602</v>
      </c>
      <c r="K14" s="78">
        <f>O14*K13</f>
        <v>66.536805204745</v>
      </c>
      <c r="L14" s="78">
        <f>O14*L13</f>
        <v>90.57322608496</v>
      </c>
      <c r="M14" s="78">
        <f>O14*M13</f>
        <v>49.902603903559</v>
      </c>
      <c r="N14" s="78">
        <f>O14*N13</f>
        <v>29.941562342135</v>
      </c>
      <c r="O14">
        <f>IF(O7&lt;1, S7*0.6, S7*0.6*O7)</f>
        <v>651.97752</v>
      </c>
    </row>
    <row r="15" spans="1:19">
      <c r="B15" t="s">
        <v>108</v>
      </c>
      <c r="C15" s="78">
        <f>C11+C14</f>
        <v>6.9980520780712</v>
      </c>
      <c r="D15" s="78">
        <f>D11+D14</f>
        <v>584.33734851894</v>
      </c>
      <c r="E15" s="78">
        <f>E11+E14</f>
        <v>314.9123435132</v>
      </c>
      <c r="F15" s="78">
        <f>F11+F14</f>
        <v>69.980520780712</v>
      </c>
      <c r="G15" s="78">
        <f>G11+G14</f>
        <v>116.63420130119</v>
      </c>
      <c r="H15" s="78">
        <f>H11+H14</f>
        <v>69.980520780712</v>
      </c>
      <c r="I15" s="78">
        <f>I11+I14</f>
        <v>1589.7241637352</v>
      </c>
      <c r="J15" s="78">
        <f>J11+J14</f>
        <v>157.4561717566</v>
      </c>
      <c r="K15" s="78">
        <f>K11+K14</f>
        <v>466.53680520475</v>
      </c>
      <c r="L15" s="78">
        <f>L11+L14</f>
        <v>635.07322608496</v>
      </c>
      <c r="M15" s="78">
        <f>M11+M14</f>
        <v>349.90260390356</v>
      </c>
      <c r="N15" s="78">
        <f>N11+N14</f>
        <v>209.94156234214</v>
      </c>
      <c r="O15"/>
    </row>
    <row r="16" spans="1:19">
      <c r="B16" s="77" t="s">
        <v>109</v>
      </c>
      <c r="C16" s="78">
        <f>C12+C14</f>
        <v>0.99805207807118</v>
      </c>
      <c r="D16" s="78">
        <f>D12+D14</f>
        <v>83.337348518944</v>
      </c>
      <c r="E16" s="78">
        <f>E12+E14</f>
        <v>44.912343513203</v>
      </c>
      <c r="F16" s="78">
        <f>F12+F14</f>
        <v>9.9805207807118</v>
      </c>
      <c r="G16" s="78">
        <f>G12+G14</f>
        <v>16.634201301186</v>
      </c>
      <c r="H16" s="78">
        <f>H12+H14</f>
        <v>9.9805207807118</v>
      </c>
      <c r="I16" s="78">
        <f>I12+I14</f>
        <v>226.72416373517</v>
      </c>
      <c r="J16" s="78">
        <f>J12+J14</f>
        <v>22.456171756602</v>
      </c>
      <c r="K16" s="78">
        <f>K12+K14</f>
        <v>66.536805204745</v>
      </c>
      <c r="L16" s="78">
        <f>L12+L14</f>
        <v>90.57322608496</v>
      </c>
      <c r="M16" s="78">
        <f>M12+M14</f>
        <v>49.902603903559</v>
      </c>
      <c r="N16" s="78">
        <f>N12+N14</f>
        <v>29.941562342135</v>
      </c>
      <c r="O16"/>
    </row>
    <row r="17" spans="1:19">
      <c r="B17" t="s">
        <v>110</v>
      </c>
      <c r="C17" s="78">
        <f>IF(O11&gt;5000,100*C13,50*C13)</f>
        <v>0.076540375047838</v>
      </c>
      <c r="D17" s="78">
        <f>IF(O11&gt;5000,100*D13,50*D13)</f>
        <v>6.3911213164944</v>
      </c>
      <c r="E17" s="78">
        <f>IF(O11&gt;5000,100*E13,50*E13)</f>
        <v>3.4443168771527</v>
      </c>
      <c r="F17" s="78">
        <f>IF(O11&gt;5000,100*F13,50*F13)</f>
        <v>0.76540375047838</v>
      </c>
      <c r="G17" s="78">
        <f>IF(O11&gt;5000,100*G13,50*G13)</f>
        <v>1.275672917464</v>
      </c>
      <c r="H17" s="78">
        <f>IF(O11&gt;5000,100*H13,50*H13)</f>
        <v>0.76540375047838</v>
      </c>
      <c r="I17" s="78">
        <f>IF(O11&gt;5000,100*I13,50*I13)</f>
        <v>17.387421865034</v>
      </c>
      <c r="J17" s="78">
        <f>IF(O11&gt;5000,100*J13,50*J13)</f>
        <v>1.7221584385763</v>
      </c>
      <c r="K17" s="78">
        <f>IF(O11&gt;5000,100*K13,50*K13)</f>
        <v>5.1026916698558</v>
      </c>
      <c r="L17" s="78">
        <f>IF(O11&gt;5000,100*L13,50*L13)</f>
        <v>6.9460390355913</v>
      </c>
      <c r="M17" s="78">
        <f>IF(O11&gt;5000,100*M13,50*M13)</f>
        <v>3.8270187523919</v>
      </c>
      <c r="N17" s="78">
        <f>IF(O11&gt;5000,100*N13,50*N13)</f>
        <v>2.2962112514351</v>
      </c>
      <c r="O17"/>
    </row>
    <row r="18" spans="1:19">
      <c r="B18" t="s">
        <v>111</v>
      </c>
      <c r="C18" s="78">
        <f>C15+C17</f>
        <v>7.074592453119</v>
      </c>
      <c r="D18" s="78">
        <f>D15+D17</f>
        <v>590.72846983544</v>
      </c>
      <c r="E18" s="78">
        <f>E15+E17</f>
        <v>318.35666039036</v>
      </c>
      <c r="F18" s="78">
        <f>F15+F17</f>
        <v>70.74592453119</v>
      </c>
      <c r="G18" s="78">
        <f>G15+G17</f>
        <v>117.90987421865</v>
      </c>
      <c r="H18" s="78">
        <f>H15+H17</f>
        <v>70.74592453119</v>
      </c>
      <c r="I18" s="78">
        <f>I15+I17</f>
        <v>1607.1115856002</v>
      </c>
      <c r="J18" s="78">
        <f>J15+J17</f>
        <v>159.17833019518</v>
      </c>
      <c r="K18" s="78">
        <f>K15+K17</f>
        <v>471.6394968746</v>
      </c>
      <c r="L18" s="78">
        <f>L15+L17</f>
        <v>642.01926512055</v>
      </c>
      <c r="M18" s="78">
        <f>M15+M17</f>
        <v>353.72962265595</v>
      </c>
      <c r="N18" s="78">
        <f>N15+N17</f>
        <v>212.23777359357</v>
      </c>
      <c r="O18"/>
    </row>
    <row r="19" spans="1:19">
      <c r="B19" s="77" t="s">
        <v>112</v>
      </c>
      <c r="C19" s="78">
        <f>C16+C17</f>
        <v>1.074592453119</v>
      </c>
      <c r="D19" s="78">
        <f>D16+D17</f>
        <v>89.728469835438</v>
      </c>
      <c r="E19" s="78">
        <f>E16+E17</f>
        <v>48.356660390356</v>
      </c>
      <c r="F19" s="78">
        <f>F16+F17</f>
        <v>10.74592453119</v>
      </c>
      <c r="G19" s="78">
        <f>G16+G17</f>
        <v>17.90987421865</v>
      </c>
      <c r="H19" s="78">
        <f>H16+H17</f>
        <v>10.74592453119</v>
      </c>
      <c r="I19" s="78">
        <f>I16+I17</f>
        <v>244.1115856002</v>
      </c>
      <c r="J19" s="78">
        <f>J16+J17</f>
        <v>24.178330195178</v>
      </c>
      <c r="K19" s="78">
        <f>K16+K17</f>
        <v>71.639496874601</v>
      </c>
      <c r="L19" s="78">
        <f>L16+L17</f>
        <v>97.519265120551</v>
      </c>
      <c r="M19" s="78">
        <f>M16+M17</f>
        <v>53.729622655951</v>
      </c>
      <c r="N19" s="78">
        <f>N16+N17</f>
        <v>32.237773593571</v>
      </c>
      <c r="O19"/>
    </row>
    <row r="23" spans="1:19">
      <c r="B23" s="74" t="s">
        <v>122</v>
      </c>
      <c r="C23"/>
      <c r="D23"/>
      <c r="E23"/>
    </row>
    <row r="26" spans="1:19">
      <c r="B26" t="s">
        <v>96</v>
      </c>
      <c r="C26" s="78">
        <v>0</v>
      </c>
      <c r="D26" s="78">
        <f>D10*0.63</f>
        <v>15.75</v>
      </c>
      <c r="E26" s="78">
        <f>E10*0.63</f>
        <v>10.08</v>
      </c>
      <c r="F26" s="78">
        <v>0</v>
      </c>
      <c r="G26" s="78">
        <v>0</v>
      </c>
      <c r="H26" s="78">
        <v>0</v>
      </c>
      <c r="I26" s="78">
        <f>I10*0.63</f>
        <v>101.43</v>
      </c>
      <c r="J26" s="78">
        <v>0</v>
      </c>
      <c r="K26" s="78">
        <v>0</v>
      </c>
      <c r="L26" s="78">
        <v>0</v>
      </c>
      <c r="M26" s="78">
        <v>0</v>
      </c>
      <c r="N26" s="78">
        <v>0</v>
      </c>
      <c r="O26" s="78">
        <f>SUM(C26:N26)</f>
        <v>127.26</v>
      </c>
    </row>
    <row r="27" spans="1:19">
      <c r="C27" s="83">
        <v>0.11</v>
      </c>
      <c r="D27" s="83">
        <v>0.11</v>
      </c>
      <c r="E27" s="83">
        <v>0.11</v>
      </c>
      <c r="F27" s="83">
        <v>0.06</v>
      </c>
      <c r="G27" s="83">
        <v>0.0</v>
      </c>
      <c r="H27" s="83">
        <v>0.06</v>
      </c>
      <c r="I27" s="83">
        <v>0.11</v>
      </c>
      <c r="J27" s="83">
        <v>0.11</v>
      </c>
      <c r="K27" s="83">
        <v>0.0</v>
      </c>
      <c r="L27" s="83">
        <v>0.0</v>
      </c>
      <c r="M27" s="83">
        <v>0.0</v>
      </c>
      <c r="N27" s="83">
        <v>0.0</v>
      </c>
      <c r="O27" s="82">
        <f>SUM(C27:N27)</f>
        <v>0.67</v>
      </c>
    </row>
    <row r="28" spans="1:19">
      <c r="B28" t="s">
        <v>116</v>
      </c>
      <c r="C28" s="78">
        <f>MAX(C19,C18)*C27</f>
        <v>0.77820516984309</v>
      </c>
      <c r="D28" s="78">
        <f>MAX(D19,D18)*D27</f>
        <v>64.980131681898</v>
      </c>
      <c r="E28" s="78">
        <f>MAX(E19,E18)*E27</f>
        <v>35.019232642939</v>
      </c>
      <c r="F28" s="78">
        <f>MAX(F19,F18)*F27</f>
        <v>4.2447554718714</v>
      </c>
      <c r="G28" s="78">
        <f>MAX(G19,G18)*G27</f>
        <v>0</v>
      </c>
      <c r="H28" s="78">
        <f>MAX(H19,H18)*H27</f>
        <v>4.2447554718714</v>
      </c>
      <c r="I28" s="78">
        <f>MAX(I19,I18)*I27</f>
        <v>176.78227441602</v>
      </c>
      <c r="J28" s="78">
        <f>MAX(J19,J18)*J27</f>
        <v>17.50961632147</v>
      </c>
      <c r="K28" s="78">
        <f>MAX(K19,K18)*K27</f>
        <v>0</v>
      </c>
      <c r="L28" s="78">
        <f>MAX(L19,L18)*L27</f>
        <v>0</v>
      </c>
      <c r="M28" s="78">
        <f>MAX(M19,M18)*M27</f>
        <v>0</v>
      </c>
      <c r="N28" s="78">
        <f>MAX(N19,N18)*N27</f>
        <v>0</v>
      </c>
      <c r="O28" s="78">
        <f>SUM(C28:N28)</f>
        <v>303.55897117592</v>
      </c>
    </row>
    <row r="29" spans="1:19">
      <c r="B29" t="s">
        <v>32</v>
      </c>
      <c r="C29" s="78">
        <f>0.16*(MAX(C19,C18)+C28)</f>
        <v>1.2564476196739</v>
      </c>
      <c r="D29" s="78">
        <f>0.16*(MAX(D19,D18)+D28)</f>
        <v>104.91337624277</v>
      </c>
      <c r="E29" s="78">
        <f>0.16*(MAX(E19,E18)+E28)</f>
        <v>56.540142885327</v>
      </c>
      <c r="F29" s="78">
        <f>0.16*(MAX(F19,F18)+F28)</f>
        <v>11.99850880049</v>
      </c>
      <c r="G29" s="78">
        <f>0.16*(MAX(G19,G18)+G28)</f>
        <v>18.865579874984</v>
      </c>
      <c r="H29" s="78">
        <f>0.16*(MAX(H19,H18)+H28)</f>
        <v>11.99850880049</v>
      </c>
      <c r="I29" s="78">
        <f>0.16*(MAX(I19,I18)+I28)</f>
        <v>285.4230176026</v>
      </c>
      <c r="J29" s="78">
        <f>0.16*(MAX(J19,J18)+J28)</f>
        <v>28.270071442664</v>
      </c>
      <c r="K29" s="78">
        <f>0.16*(MAX(K19,K18)+K28)</f>
        <v>75.462319499936</v>
      </c>
      <c r="L29" s="78">
        <f>0.16*(MAX(L19,L18)+L28)</f>
        <v>102.72308241929</v>
      </c>
      <c r="M29" s="78">
        <f>0.16*(MAX(M19,M18)+M28)</f>
        <v>56.596739624952</v>
      </c>
      <c r="N29" s="78">
        <f>0.16*(MAX(N19,N18)+N28)</f>
        <v>33.958043774971</v>
      </c>
      <c r="O29" s="78">
        <f>SUM(C29:N29)</f>
        <v>788.00583858815</v>
      </c>
    </row>
    <row r="30" spans="1:19">
      <c r="B30" t="s">
        <v>33</v>
      </c>
      <c r="C30" s="78">
        <f>0.02*(MAX(C19,C18)+C28)</f>
        <v>0.15705595245924</v>
      </c>
      <c r="D30" s="78">
        <f>0.02*(MAX(D19,D18)+D28)</f>
        <v>13.114172030347</v>
      </c>
      <c r="E30" s="78">
        <f>0.02*(MAX(E19,E18)+E28)</f>
        <v>7.0675178606659</v>
      </c>
      <c r="F30" s="78">
        <f>0.02*(MAX(F19,F18)+F28)</f>
        <v>1.4998136000612</v>
      </c>
      <c r="G30" s="78">
        <f>0.02*(MAX(G19,G18)+G28)</f>
        <v>2.358197484373</v>
      </c>
      <c r="H30" s="78">
        <f>0.02*(MAX(H19,H18)+H28)</f>
        <v>1.4998136000612</v>
      </c>
      <c r="I30" s="78">
        <f>0.02*(MAX(I19,I18)+I28)</f>
        <v>35.677877200325</v>
      </c>
      <c r="J30" s="78">
        <f>0.02*(MAX(J19,J18)+J28)</f>
        <v>3.5337589303329</v>
      </c>
      <c r="K30" s="78">
        <f>0.02*(MAX(K19,K18)+K28)</f>
        <v>9.432789937492</v>
      </c>
      <c r="L30" s="78">
        <f>0.02*(MAX(L19,L18)+L28)</f>
        <v>12.840385302411</v>
      </c>
      <c r="M30" s="78">
        <f>0.02*(MAX(M19,M18)+M28)</f>
        <v>7.074592453119</v>
      </c>
      <c r="N30" s="78">
        <f>0.02*(MAX(N19,N18)+N28)</f>
        <v>4.2447554718714</v>
      </c>
      <c r="O30" s="78">
        <f>SUM(C30:N30)</f>
        <v>98.500729823518</v>
      </c>
    </row>
    <row r="31" spans="1:19">
      <c r="B31" t="s">
        <v>117</v>
      </c>
      <c r="C31" s="78">
        <f>0.035*(MAX(C18,C19) +C28+C29+C30)</f>
        <v>0.32432054182834</v>
      </c>
      <c r="D31" s="78">
        <f>0.035*(MAX(D18,D19) +D28+D29+D30)</f>
        <v>27.080765242666</v>
      </c>
      <c r="E31" s="78">
        <f>0.035*(MAX(E18,E19) +E28+E29+E30)</f>
        <v>14.594424382275</v>
      </c>
      <c r="F31" s="78">
        <f>0.035*(MAX(F18,F19) +F28+F29+F30)</f>
        <v>3.0971150841264</v>
      </c>
      <c r="G31" s="78">
        <f>0.035*(MAX(G18,G19) +G28+G29+G30)</f>
        <v>4.8696778052303</v>
      </c>
      <c r="H31" s="78">
        <f>0.035*(MAX(H18,H19) +H28+H29+H30)</f>
        <v>3.0971150841264</v>
      </c>
      <c r="I31" s="78">
        <f>0.035*(MAX(I18,I19) +I28+I29+I30)</f>
        <v>73.67481641867</v>
      </c>
      <c r="J31" s="78">
        <f>0.035*(MAX(J18,J19) +J28+J29+J30)</f>
        <v>7.2972121911375</v>
      </c>
      <c r="K31" s="78">
        <f>0.035*(MAX(K18,K19) +K28+K29+K30)</f>
        <v>19.478711220921</v>
      </c>
      <c r="L31" s="78">
        <f>0.035*(MAX(L18,L19) +L28+L29+L30)</f>
        <v>26.515395649479</v>
      </c>
      <c r="M31" s="78">
        <f>0.035*(MAX(M18,M19) +M28+M29+M30)</f>
        <v>14.609033415691</v>
      </c>
      <c r="N31" s="78">
        <f>0.035*(MAX(N18,N19) +N28+N29+N30)</f>
        <v>8.7654200494145</v>
      </c>
      <c r="O31" s="78">
        <f>SUM(C31:N31)</f>
        <v>203.40400708557</v>
      </c>
    </row>
    <row r="32" spans="1:19">
      <c r="B32" t="s">
        <v>68</v>
      </c>
      <c r="C32" s="78">
        <f>SUM(C28:C31)</f>
        <v>2.5160292838046</v>
      </c>
      <c r="D32" s="78">
        <f>SUM(D28:D31)</f>
        <v>210.08844519768</v>
      </c>
      <c r="E32" s="78">
        <f>SUM(E28:E31)</f>
        <v>113.22131777121</v>
      </c>
      <c r="F32" s="78">
        <f>SUM(F28:F31)</f>
        <v>20.840192956549</v>
      </c>
      <c r="G32" s="78">
        <f>SUM(G28:G31)</f>
        <v>26.093455164587</v>
      </c>
      <c r="H32" s="78">
        <f>SUM(H28:H31)</f>
        <v>20.840192956549</v>
      </c>
      <c r="I32" s="78">
        <f>SUM(I28:I31)</f>
        <v>571.55798563762</v>
      </c>
      <c r="J32" s="78">
        <f>SUM(J28:J31)</f>
        <v>56.610658885604</v>
      </c>
      <c r="K32" s="78">
        <f>SUM(K28:K31)</f>
        <v>104.37382065835</v>
      </c>
      <c r="L32" s="78">
        <f>SUM(L28:L31)</f>
        <v>142.07886337118</v>
      </c>
      <c r="M32" s="78">
        <f>SUM(M28:M31)</f>
        <v>78.280365493762</v>
      </c>
      <c r="N32" s="78">
        <f>SUM(N28:N31)</f>
        <v>46.968219296257</v>
      </c>
      <c r="O32" s="78">
        <f>SUM(O28:O31)</f>
        <v>1393.4695466731</v>
      </c>
    </row>
    <row r="37" spans="1:19">
      <c r="B37" s="74" t="s">
        <v>123</v>
      </c>
      <c r="C37"/>
      <c r="D37"/>
      <c r="E37"/>
    </row>
    <row r="40" spans="1:19">
      <c r="B40" t="s">
        <v>118</v>
      </c>
      <c r="C40" s="78">
        <f>C13*O40</f>
        <v>0.66536805204745</v>
      </c>
      <c r="D40" s="78">
        <f>D13*O40</f>
        <v>55.558232345962</v>
      </c>
      <c r="E40" s="78">
        <f>E13*O40</f>
        <v>29.941562342135</v>
      </c>
      <c r="F40" s="78">
        <f>F13*O40</f>
        <v>6.6536805204745</v>
      </c>
      <c r="G40" s="78">
        <f>G13*O40</f>
        <v>11.089467534124</v>
      </c>
      <c r="H40" s="78">
        <f>H13*O40</f>
        <v>6.6536805204745</v>
      </c>
      <c r="I40" s="78">
        <f>I13*O40</f>
        <v>151.14944249011</v>
      </c>
      <c r="J40" s="78">
        <f>J13*O40</f>
        <v>14.970781171068</v>
      </c>
      <c r="K40" s="78">
        <f>K13*O40</f>
        <v>44.357870136497</v>
      </c>
      <c r="L40" s="78">
        <f>L13*O40</f>
        <v>60.382150723306</v>
      </c>
      <c r="M40" s="78">
        <f>M13*O40</f>
        <v>33.268402602373</v>
      </c>
      <c r="N40" s="78">
        <f>N13*O40</f>
        <v>19.961041561424</v>
      </c>
      <c r="O40">
        <f>IF(O7&lt;1, S7*0.4,S7*0.4*O7)</f>
        <v>434.65168</v>
      </c>
    </row>
    <row r="41" spans="1:19">
      <c r="B41"/>
    </row>
    <row r="43" spans="1:19">
      <c r="B43" t="s">
        <v>118</v>
      </c>
      <c r="C43" t="s">
        <v>80</v>
      </c>
      <c r="D43" t="s">
        <v>79</v>
      </c>
      <c r="E43" t="s">
        <v>78</v>
      </c>
      <c r="F43" t="s">
        <v>77</v>
      </c>
      <c r="G43" t="s">
        <v>76</v>
      </c>
      <c r="H43" t="s">
        <v>75</v>
      </c>
      <c r="I43" t="s">
        <v>74</v>
      </c>
      <c r="J43" t="s">
        <v>73</v>
      </c>
      <c r="K43" t="s">
        <v>72</v>
      </c>
      <c r="L43" t="s">
        <v>71</v>
      </c>
      <c r="M43" t="s">
        <v>70</v>
      </c>
      <c r="N43" t="s">
        <v>69</v>
      </c>
      <c r="O43" t="s">
        <v>115</v>
      </c>
    </row>
    <row r="44" spans="1:19">
      <c r="B44" t="s">
        <v>119</v>
      </c>
      <c r="C44" s="78">
        <f>SUM(C15,C40,C32,(C26))</f>
        <v>10.179449413923</v>
      </c>
      <c r="D44" s="78">
        <f>SUM(D15,D40,D32,(D26))</f>
        <v>865.73402606259</v>
      </c>
      <c r="E44" s="78">
        <f>SUM(E15,E40,E32,(E26))</f>
        <v>468.15522362655</v>
      </c>
      <c r="F44" s="78">
        <f>SUM(F15,F40,F32,(F26))</f>
        <v>97.474394257735</v>
      </c>
      <c r="G44" s="78">
        <f>SUM(G15,G40,G32,(G26))</f>
        <v>153.8171239999</v>
      </c>
      <c r="H44" s="78">
        <f>SUM(H15,H40,H32,(H26))</f>
        <v>97.474394257735</v>
      </c>
      <c r="I44" s="78">
        <f>SUM(I15,I40,I32,(I26))</f>
        <v>2413.8615918629</v>
      </c>
      <c r="J44" s="78">
        <f>SUM(J15,J40,J32,(J26))</f>
        <v>229.03761181327</v>
      </c>
      <c r="K44" s="78">
        <f>SUM(K15,K40,K32,(K26))</f>
        <v>615.26849599959</v>
      </c>
      <c r="L44" s="78">
        <f>SUM(L15,L40,L32,(L26))</f>
        <v>837.53424017944</v>
      </c>
      <c r="M44" s="78">
        <f>SUM(M15,M40,M32,(M26))</f>
        <v>461.45137199969</v>
      </c>
      <c r="N44" s="78">
        <f>SUM(N15,N40,N32,(N26))</f>
        <v>276.87082319982</v>
      </c>
      <c r="O44" s="78">
        <f>SUM(C44:N44)</f>
        <v>6526.8587466732</v>
      </c>
    </row>
    <row r="45" spans="1:19">
      <c r="B45" t="s">
        <v>84</v>
      </c>
      <c r="C45">
        <v>2</v>
      </c>
      <c r="D45">
        <v>25</v>
      </c>
      <c r="E45">
        <v>16</v>
      </c>
      <c r="F45">
        <v>2</v>
      </c>
      <c r="G45">
        <v>20</v>
      </c>
      <c r="H45">
        <v>2</v>
      </c>
      <c r="I45">
        <v>161</v>
      </c>
      <c r="J45">
        <v>15</v>
      </c>
      <c r="K45">
        <v>8</v>
      </c>
      <c r="L45">
        <v>32</v>
      </c>
      <c r="M45">
        <v>1</v>
      </c>
      <c r="N45">
        <v>1</v>
      </c>
      <c r="O45"/>
    </row>
    <row r="46" spans="1:19">
      <c r="B46" t="s">
        <v>120</v>
      </c>
      <c r="C46" s="78">
        <f>SUM(C44/C45)</f>
        <v>5.0897247069616</v>
      </c>
      <c r="D46" s="78">
        <f>SUM(D44/D45)</f>
        <v>34.629361042504</v>
      </c>
      <c r="E46" s="78">
        <f>SUM(E44/E45)</f>
        <v>29.259701476659</v>
      </c>
      <c r="F46" s="78">
        <f>SUM(F44/F45)</f>
        <v>48.737197128868</v>
      </c>
      <c r="G46" s="78">
        <f>SUM(G44/G45)</f>
        <v>7.6908561999949</v>
      </c>
      <c r="H46" s="78">
        <f>SUM(H44/H45)</f>
        <v>48.737197128868</v>
      </c>
      <c r="I46" s="78">
        <f>SUM(I44/I45)</f>
        <v>14.992929142006</v>
      </c>
      <c r="J46" s="78">
        <f>SUM(J44/J45)</f>
        <v>15.269174120885</v>
      </c>
      <c r="K46" s="78">
        <f>SUM(K44/K45)</f>
        <v>76.908561999949</v>
      </c>
      <c r="L46" s="78">
        <f>SUM(L44/L45)</f>
        <v>26.172945005608</v>
      </c>
      <c r="M46" s="78">
        <f>SUM(M44/M45)</f>
        <v>461.45137199969</v>
      </c>
      <c r="N46" s="78">
        <f>SUM(N44/N45)</f>
        <v>276.87082319982</v>
      </c>
      <c r="O46"/>
    </row>
    <row r="47" spans="1:19">
      <c r="B47" t="s">
        <v>121</v>
      </c>
      <c r="C47" s="84">
        <f>C46*3.7</f>
        <v>18.831981415758</v>
      </c>
      <c r="D47" s="84">
        <f>D46*3.7</f>
        <v>128.12863585726</v>
      </c>
      <c r="E47" s="84">
        <f>E46*3.7</f>
        <v>108.26089546364</v>
      </c>
      <c r="F47" s="84">
        <f>F46*3.7</f>
        <v>180.32762937681</v>
      </c>
      <c r="G47" s="84">
        <f>G46*3.7</f>
        <v>28.456167939981</v>
      </c>
      <c r="H47" s="84">
        <f>H46*3.7</f>
        <v>180.32762937681</v>
      </c>
      <c r="I47" s="84">
        <f>I46*3.7</f>
        <v>55.473837825421</v>
      </c>
      <c r="J47" s="84">
        <f>J46*3.7</f>
        <v>56.495944247274</v>
      </c>
      <c r="K47" s="84">
        <f>K46*3.7</f>
        <v>284.56167939981</v>
      </c>
      <c r="L47" s="84">
        <f>L46*3.7</f>
        <v>96.839896520748</v>
      </c>
      <c r="M47" s="84">
        <f>M46*3.7</f>
        <v>1707.3700763989</v>
      </c>
      <c r="N47" s="84">
        <f>N46*3.7</f>
        <v>1024.4220458393</v>
      </c>
      <c r="O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