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<sst xmlns="http://schemas.openxmlformats.org/spreadsheetml/2006/main" uniqueCount="118">
  <si>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</si>
  <si>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</si>
  <si>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</si>
  <si>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</si>
  <si>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CARLOS PINEDA GARCIA</t>
  </si>
  <si>
    <t>SERVICIO:</t>
  </si>
  <si>
    <t>CARGA CONSOLIDADA</t>
  </si>
  <si>
    <t>N° CAJAS:</t>
  </si>
  <si>
    <t>APELLIDO:</t>
  </si>
  <si>
    <t>FECHA:</t>
  </si>
  <si>
    <t>PESO:</t>
  </si>
  <si>
    <t>524.2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</si>
  <si>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</si>
  <si>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</si>
  <si>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</si>
  <si>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</si>
  <si>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</si>
  <si>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</si>
  <si>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</si>
  <si>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</si>
  <si>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</si>
  <si>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</si>
  <si>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</si>
  <si>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</si>
  <si>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</si>
  <si>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</si>
  <si>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</si>
  <si>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</si>
  <si>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</si>
  <si>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</si>
  <si>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</si>
  <si>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</si>
  <si>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</si>
  <si>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</si>
  <si>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</si>
  <si>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</si>
  <si>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</si>
  <si>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</si>
  <si>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</si>
  <si>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</si>
  <si>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</si>
  <si>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</si>
  <si>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</si>
  <si>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</si>
  <si>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</si>
  <si>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</si>
  <si>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</si>
  <si>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</si>
  <si>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</si>
  <si>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</si>
  <si>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</si>
  <si>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</si>
  <si>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</si>
  <si>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</si>
  <si>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</si>
  <si>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</si>
  <si>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</si>
  <si>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</si>
  <si>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</si>
  <si>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</si>
  <si>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</si>
  <si>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</si>
  <si>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</si>
  <si>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</si>
  <si>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</si>
  <si>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</si>
  <si>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</si>
  <si>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</si>
  <si>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</si>
  <si>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</si>
  <si>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</si>
  <si>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</si>
  <si>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</si>
  <si>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</si>
  <si>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</si>
  <si>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</si>
  <si>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</si>
  <si>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</si>
  <si>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</si>
  <si>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</si>
  <si>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</si>
  <si>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</si>
  <si>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</si>
  <si>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</si>
  <si>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CARLOS PINEDA GARCIA 😁 un gusto saludarte!
A continuación te envío la cotización final de tu importación📋📦.
🙋‍♂️ PAGO PENDIENTE :
☑️Costo CBM: $0
☑️Impuestos: $0
☑️ Total: $0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</si>
  <si>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</si>
  <si>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</si>
  <si>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</si>
  <si>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</si>
  <si>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</si>
  <si>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</si>
  <si>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</si>
  <si>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</si>
  <si>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</si>
  <si>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</si>
  <si>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</si>
  <si>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</si>
  <si>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</si>
  <si>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</si>
  <si>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</si>
  <si>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</si>
  <si>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ESTUCHE ORGANIZADOR PARA CONSOLAS</t>
  </si>
  <si>
    <t>ESTUCHE DE TRANSPORTE PARA CONSOLAS</t>
  </si>
  <si>
    <t>PROTECTOR DE PANTALLA PARA CONSOLAS</t>
  </si>
  <si>
    <t>CASE TRANSPARENTE PARA CONSOLA</t>
  </si>
  <si>
    <t>PROTECTOR PARA COMPUTADORAS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</si>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</sst>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20607564974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51936222770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'2'!G11</f>
        <v>646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'2'!G14 + '2'!G17</f>
        <v>130.8147500829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776.8147500829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'2'!G28</f>
        <v/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'2'!G29</f>
        <v/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'2'!G30</f>
        <v/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'2'!G31</f>
        <v/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0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646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'2'!G40, '2'!G40*J11)</f>
        <v>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0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646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96</v>
      </c>
      <c r="G36" s="66">
        <f>+'2'!$C$10</f>
        <v>96</v>
      </c>
      <c r="H36" s="67"/>
      <c r="I36" s="27">
        <f>+'2'!$C$46</f>
        <v>8.092805211836</v>
      </c>
      <c r="J36" s="27">
        <f>+F36*I36</f>
        <v>776.90930033626</v>
      </c>
      <c r="K36" s="54">
        <f>I36*3.7</f>
        <v>29.943379283793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12</v>
      </c>
      <c r="G37" s="66">
        <f>+'2'!$D$10</f>
        <v>12</v>
      </c>
      <c r="H37" s="67"/>
      <c r="I37" s="27">
        <f>+'2'!$D$46</f>
        <v>18.379169494723</v>
      </c>
      <c r="J37" s="27">
        <f>+F37*I37</f>
        <v>220.55003393668</v>
      </c>
      <c r="K37" s="54">
        <f>I37*3.7</f>
        <v>68.002927130476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200</v>
      </c>
      <c r="G38" s="66">
        <f>+'2'!$E$10</f>
        <v>200</v>
      </c>
      <c r="H38" s="67"/>
      <c r="I38" s="27">
        <f>+'2'!$E$46</f>
        <v>1.0902897157887</v>
      </c>
      <c r="J38" s="27">
        <f>+F38*I38</f>
        <v>218.05794315773</v>
      </c>
      <c r="K38" s="82">
        <f>I38*3.7</f>
        <v>4.034071948418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308</v>
      </c>
      <c r="G39" s="2"/>
      <c r="H39" s="2"/>
      <c r="J39" s="28">
        <f>+SUM(J36:J38)</f>
        <v>1215.5172774307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H44" sqref="H44"/>
    </sheetView>
  </sheetViews>
  <sheetFormatPr defaultRowHeight="14.4" outlineLevelRow="0" outlineLevelCol="0"/>
  <cols>
    <col min="2" max="2" width="24.708" bestFit="true" customWidth="true" style="0"/>
    <col min="3" max="3" width="39.99" bestFit="true" customWidth="true" style="0"/>
    <col min="4" max="4" width="42.418" bestFit="true" customWidth="true" style="0"/>
    <col min="5" max="5" width="42.418" bestFit="true" customWidth="true" style="0"/>
    <col min="6" max="6" width="36.42" bestFit="true" customWidth="true" style="0"/>
    <col min="7" max="7" width="32.992" bestFit="true" customWidth="true" style="0"/>
    <col min="8" max="8" width="11.711" bestFit="true" customWidth="true" style="0"/>
  </cols>
  <sheetData>
    <row r="3" spans="1:12">
      <c r="B3" s="85" t="s">
        <v>85</v>
      </c>
      <c r="C3"/>
      <c r="D3"/>
      <c r="E3"/>
      <c r="F3"/>
      <c r="G3"/>
    </row>
    <row r="5" spans="1:12">
      <c r="B5" s="87" t="s">
        <v>86</v>
      </c>
      <c r="C5" s="86" t="s">
        <v>101</v>
      </c>
      <c r="D5" s="86" t="s">
        <v>102</v>
      </c>
      <c r="E5" s="86" t="s">
        <v>103</v>
      </c>
      <c r="F5" s="86" t="s">
        <v>104</v>
      </c>
      <c r="G5" s="86" t="s">
        <v>105</v>
      </c>
      <c r="H5" s="86" t="s">
        <v>108</v>
      </c>
    </row>
    <row r="6" spans="1:12"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 s="91">
        <v>524.2</v>
      </c>
      <c r="K6" s="90" t="s">
        <v>106</v>
      </c>
      <c r="L6" s="90" t="s">
        <v>107</v>
      </c>
    </row>
    <row r="7" spans="1:12">
      <c r="B7" t="s">
        <v>88</v>
      </c>
      <c r="C7">
        <v>0</v>
      </c>
      <c r="D7">
        <v>0</v>
      </c>
      <c r="E7">
        <v>0</v>
      </c>
      <c r="F7">
        <v>0</v>
      </c>
      <c r="G7">
        <v>0</v>
      </c>
      <c r="H7" s="92">
        <v>1.4</v>
      </c>
      <c r="K7" s="90" t="s">
        <v>18</v>
      </c>
      <c r="L7" s="90">
        <v>376.67</v>
      </c>
    </row>
    <row r="8" spans="1:12">
      <c r="B8" t="s">
        <v>89</v>
      </c>
      <c r="C8" s="89">
        <v>5.1958333333333</v>
      </c>
      <c r="D8" s="89">
        <v>11.8</v>
      </c>
      <c r="E8" s="89">
        <v>0.7</v>
      </c>
      <c r="F8" s="89">
        <v>2.2529411764706</v>
      </c>
      <c r="G8" s="89">
        <v>8.075</v>
      </c>
      <c r="H8"/>
    </row>
    <row r="9" spans="1:12">
      <c r="B9" s="88" t="s">
        <v>90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/>
    </row>
    <row r="10" spans="1:12">
      <c r="B10" t="s">
        <v>91</v>
      </c>
      <c r="C10">
        <v>96</v>
      </c>
      <c r="D10">
        <v>12</v>
      </c>
      <c r="E10">
        <v>200</v>
      </c>
      <c r="F10">
        <v>170</v>
      </c>
      <c r="G10">
        <v>80</v>
      </c>
      <c r="H10">
        <f>SUM(C10:G10)</f>
        <v>558</v>
      </c>
    </row>
    <row r="11" spans="1:12">
      <c r="B11" t="s">
        <v>92</v>
      </c>
      <c r="C11" s="89">
        <f>C8*C10</f>
        <v>498.8</v>
      </c>
      <c r="D11" s="89">
        <f>D8*D10</f>
        <v>141.6</v>
      </c>
      <c r="E11" s="89">
        <f>E8*E10</f>
        <v>140</v>
      </c>
      <c r="F11" s="89">
        <f>F8*F10</f>
        <v>383</v>
      </c>
      <c r="G11" s="89">
        <f>G8*G10</f>
        <v>646</v>
      </c>
      <c r="H11">
        <f>SUM(C11:G11)</f>
        <v>1809.4</v>
      </c>
    </row>
    <row r="12" spans="1:12">
      <c r="B12" s="88" t="s">
        <v>93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/>
    </row>
    <row r="13" spans="1:12">
      <c r="B13" t="s">
        <v>94</v>
      </c>
      <c r="C13" s="93">
        <f>C11/H11</f>
        <v>0.2756714933127</v>
      </c>
      <c r="D13" s="93">
        <f>D11/H11</f>
        <v>0.078257986072731</v>
      </c>
      <c r="E13" s="93">
        <f>E11/H11</f>
        <v>0.077373715043661</v>
      </c>
      <c r="F13" s="93">
        <f>F11/H11</f>
        <v>0.21167237758373</v>
      </c>
      <c r="G13" s="93">
        <f>G11/H11</f>
        <v>0.35702442798718</v>
      </c>
      <c r="H13"/>
    </row>
    <row r="14" spans="1:12">
      <c r="B14" t="s">
        <v>95</v>
      </c>
      <c r="C14" s="89">
        <f>H14*C13</f>
        <v>87.223232364319</v>
      </c>
      <c r="D14" s="89">
        <f>H14*D13</f>
        <v>24.761045915773</v>
      </c>
      <c r="E14" s="89">
        <f>H14*E13</f>
        <v>24.481260086216</v>
      </c>
      <c r="F14" s="89">
        <f>H14*F13</f>
        <v>66.97373295015</v>
      </c>
      <c r="G14" s="89">
        <f>H14*G13</f>
        <v>112.96352868354</v>
      </c>
      <c r="H14">
        <f>IF(H7&lt;1, L7*0.6, L7*0.6*H7)</f>
        <v>316.4028</v>
      </c>
    </row>
    <row r="15" spans="1:12">
      <c r="B15" t="s">
        <v>96</v>
      </c>
      <c r="C15" s="89">
        <f>C11+C14</f>
        <v>586.02323236432</v>
      </c>
      <c r="D15" s="89">
        <f>D11+D14</f>
        <v>166.36104591577</v>
      </c>
      <c r="E15" s="89">
        <f>E11+E14</f>
        <v>164.48126008622</v>
      </c>
      <c r="F15" s="89">
        <f>F11+F14</f>
        <v>449.97373295015</v>
      </c>
      <c r="G15" s="89">
        <f>G11+G14</f>
        <v>758.96352868354</v>
      </c>
      <c r="H15"/>
    </row>
    <row r="16" spans="1:12">
      <c r="B16" s="88" t="s">
        <v>97</v>
      </c>
      <c r="C16" s="89">
        <f>C12+C14</f>
        <v>87.223232364319</v>
      </c>
      <c r="D16" s="89">
        <f>D12+D14</f>
        <v>24.761045915773</v>
      </c>
      <c r="E16" s="89">
        <f>E12+E14</f>
        <v>24.481260086216</v>
      </c>
      <c r="F16" s="89">
        <f>F12+F14</f>
        <v>66.97373295015</v>
      </c>
      <c r="G16" s="89">
        <f>G12+G14</f>
        <v>112.96352868354</v>
      </c>
      <c r="H16"/>
    </row>
    <row r="17" spans="1:12">
      <c r="B17" t="s">
        <v>98</v>
      </c>
      <c r="C17" s="89">
        <f>IF(H11&gt;5000,100*C13,50*C13)</f>
        <v>13.783574665635</v>
      </c>
      <c r="D17" s="89">
        <f>IF(H11&gt;5000,100*D13,50*D13)</f>
        <v>3.9128993036366</v>
      </c>
      <c r="E17" s="89">
        <f>IF(H11&gt;5000,100*E13,50*E13)</f>
        <v>3.868685752183</v>
      </c>
      <c r="F17" s="89">
        <f>IF(H11&gt;5000,100*F13,50*F13)</f>
        <v>10.583618879187</v>
      </c>
      <c r="G17" s="89">
        <f>IF(H11&gt;5000,100*G13,50*G13)</f>
        <v>17.851221399359</v>
      </c>
      <c r="H17"/>
    </row>
    <row r="18" spans="1:12">
      <c r="B18" t="s">
        <v>99</v>
      </c>
      <c r="C18" s="89">
        <f>C15+C17</f>
        <v>599.80680702995</v>
      </c>
      <c r="D18" s="89">
        <f>D15+D17</f>
        <v>170.27394521941</v>
      </c>
      <c r="E18" s="89">
        <f>E15+E17</f>
        <v>168.3499458384</v>
      </c>
      <c r="F18" s="89">
        <f>F15+F17</f>
        <v>460.55735182934</v>
      </c>
      <c r="G18" s="89">
        <f>G15+G17</f>
        <v>776.8147500829</v>
      </c>
      <c r="H18"/>
    </row>
    <row r="19" spans="1:12">
      <c r="B19" s="88" t="s">
        <v>100</v>
      </c>
      <c r="C19" s="89">
        <f>C16+C17</f>
        <v>101.00680702995</v>
      </c>
      <c r="D19" s="89">
        <f>D16+D17</f>
        <v>28.67394521941</v>
      </c>
      <c r="E19" s="89">
        <f>E16+E17</f>
        <v>28.349945838399</v>
      </c>
      <c r="F19" s="89">
        <f>F16+F17</f>
        <v>77.557351829336</v>
      </c>
      <c r="G19" s="89">
        <f>G16+G17</f>
        <v>130.8147500829</v>
      </c>
      <c r="H19"/>
    </row>
    <row r="23" spans="1:12">
      <c r="B23" s="85" t="s">
        <v>115</v>
      </c>
      <c r="C23"/>
      <c r="D23"/>
      <c r="E23"/>
    </row>
    <row r="26" spans="1:12">
      <c r="B26" t="s">
        <v>116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f>SUM(C26:G26)</f>
        <v>0</v>
      </c>
    </row>
    <row r="27" spans="1:12">
      <c r="C27" s="94">
        <v>0.0</v>
      </c>
      <c r="D27" s="94">
        <v>0.0</v>
      </c>
      <c r="E27" s="94">
        <v>0.0</v>
      </c>
      <c r="F27" s="94">
        <v>0.0</v>
      </c>
      <c r="G27" s="94">
        <v>0.0</v>
      </c>
      <c r="H27" s="93">
        <f>SUM(C27:G27)</f>
        <v>0</v>
      </c>
    </row>
    <row r="28" spans="1:12">
      <c r="B28" t="s">
        <v>109</v>
      </c>
      <c r="C28" s="89">
        <f>MAX(C19,C18)*C27</f>
        <v>0</v>
      </c>
      <c r="D28" s="89">
        <f>MAX(D19,D18)*D27</f>
        <v>0</v>
      </c>
      <c r="E28" s="89">
        <f>MAX(E19,E18)*E27</f>
        <v>0</v>
      </c>
      <c r="F28" s="89">
        <f>MAX(F19,F18)*F27</f>
        <v>0</v>
      </c>
      <c r="G28" s="89">
        <f>MAX(G19,G18)*G27</f>
        <v>0</v>
      </c>
      <c r="H28" s="89">
        <f>SUM(C28:G28)</f>
        <v>0</v>
      </c>
    </row>
    <row r="29" spans="1:12">
      <c r="B29" t="s">
        <v>30</v>
      </c>
      <c r="C29" s="89">
        <f>0.16*(MAX(C19,C18)+C28)</f>
        <v>95.969089124792</v>
      </c>
      <c r="D29" s="89">
        <f>0.16*(MAX(D19,D18)+D28)</f>
        <v>27.243831235106</v>
      </c>
      <c r="E29" s="89">
        <f>0.16*(MAX(E19,E18)+E28)</f>
        <v>26.935991334144</v>
      </c>
      <c r="F29" s="89">
        <f>0.16*(MAX(F19,F18)+F28)</f>
        <v>73.689176292694</v>
      </c>
      <c r="G29" s="89">
        <f>0.16*(MAX(G19,G18)+G28)</f>
        <v>124.29036001326</v>
      </c>
      <c r="H29" s="89">
        <f>SUM(C29:G29)</f>
        <v>348.128448</v>
      </c>
    </row>
    <row r="30" spans="1:12">
      <c r="B30" t="s">
        <v>31</v>
      </c>
      <c r="C30" s="89">
        <f>0.02*(MAX(C19,C18)+C28)</f>
        <v>11.996136140599</v>
      </c>
      <c r="D30" s="89">
        <f>0.02*(MAX(D19,D18)+D28)</f>
        <v>3.4054789043882</v>
      </c>
      <c r="E30" s="89">
        <f>0.02*(MAX(E19,E18)+E28)</f>
        <v>3.366998916768</v>
      </c>
      <c r="F30" s="89">
        <f>0.02*(MAX(F19,F18)+F28)</f>
        <v>9.2111470365868</v>
      </c>
      <c r="G30" s="89">
        <f>0.02*(MAX(G19,G18)+G28)</f>
        <v>15.536295001658</v>
      </c>
      <c r="H30" s="89">
        <f>SUM(C30:G30)</f>
        <v>43.516056</v>
      </c>
    </row>
    <row r="31" spans="1:12">
      <c r="B31" t="s">
        <v>110</v>
      </c>
      <c r="C31" s="89">
        <f>0.035*(MAX(C18,C19) +C28+C29+C30)</f>
        <v>24.772021130337</v>
      </c>
      <c r="D31" s="89">
        <f>0.035*(MAX(D18,D19) +D28+D29+D30)</f>
        <v>7.0323139375616</v>
      </c>
      <c r="E31" s="89">
        <f>0.035*(MAX(E18,E19) +E28+E29+E30)</f>
        <v>6.9528527631259</v>
      </c>
      <c r="F31" s="89">
        <f>0.035*(MAX(F18,F19) +F28+F29+F30)</f>
        <v>19.021018630552</v>
      </c>
      <c r="G31" s="89">
        <f>0.035*(MAX(G18,G19) +G28+G29+G30)</f>
        <v>32.082449178424</v>
      </c>
      <c r="H31" s="89">
        <f>SUM(C31:G31)</f>
        <v>89.86065564</v>
      </c>
    </row>
    <row r="32" spans="1:12">
      <c r="B32" t="s">
        <v>35</v>
      </c>
      <c r="C32" s="89">
        <f>SUM(C28:C31)</f>
        <v>132.73724639573</v>
      </c>
      <c r="D32" s="89">
        <f>SUM(D28:D31)</f>
        <v>37.681624077055</v>
      </c>
      <c r="E32" s="89">
        <f>SUM(E28:E31)</f>
        <v>37.255843014038</v>
      </c>
      <c r="F32" s="89">
        <f>SUM(F28:F31)</f>
        <v>101.92134195983</v>
      </c>
      <c r="G32" s="89">
        <f>SUM(G28:G31)</f>
        <v>171.90910419335</v>
      </c>
      <c r="H32" s="89">
        <f>SUM(H28:H31)</f>
        <v>481.50515964</v>
      </c>
    </row>
    <row r="37" spans="1:12">
      <c r="B37" s="85" t="s">
        <v>117</v>
      </c>
      <c r="C37"/>
      <c r="D37"/>
      <c r="E37"/>
    </row>
    <row r="40" spans="1:12">
      <c r="B40" t="s">
        <v>111</v>
      </c>
      <c r="C40" s="89">
        <f>C13*H40</f>
        <v>58.148821576213</v>
      </c>
      <c r="D40" s="89">
        <f>D13*H40</f>
        <v>16.507363943849</v>
      </c>
      <c r="E40" s="89">
        <f>E13*H40</f>
        <v>16.320840057478</v>
      </c>
      <c r="F40" s="89">
        <f>F13*H40</f>
        <v>44.6491553001</v>
      </c>
      <c r="G40" s="89">
        <f>G13*H40</f>
        <v>75.309019122361</v>
      </c>
      <c r="H40">
        <f>IF(H7&lt;1, L7*0.4,L7*0.4*H7)</f>
        <v>210.9352</v>
      </c>
    </row>
    <row r="41" spans="1:12">
      <c r="B41"/>
    </row>
    <row r="43" spans="1:12">
      <c r="B43" t="s">
        <v>111</v>
      </c>
      <c r="C43" t="s">
        <v>101</v>
      </c>
      <c r="D43" t="s">
        <v>102</v>
      </c>
      <c r="E43" t="s">
        <v>103</v>
      </c>
      <c r="F43" t="s">
        <v>104</v>
      </c>
      <c r="G43" t="s">
        <v>105</v>
      </c>
      <c r="H43" t="s">
        <v>108</v>
      </c>
    </row>
    <row r="44" spans="1:12">
      <c r="B44" t="s">
        <v>112</v>
      </c>
      <c r="C44" s="89">
        <f>SUM(C15,C40,C32,(C26))</f>
        <v>776.90930033626</v>
      </c>
      <c r="D44" s="89">
        <f>SUM(D15,D40,D32,(D26))</f>
        <v>220.55003393668</v>
      </c>
      <c r="E44" s="89">
        <f>SUM(E15,E40,E32,(E26))</f>
        <v>218.05794315773</v>
      </c>
      <c r="F44" s="89">
        <f>SUM(F15,F40,F32,(F26))</f>
        <v>596.54423021008</v>
      </c>
      <c r="G44" s="89">
        <f>SUM(G15,G40,G32,(G26))</f>
        <v>1006.1816519992</v>
      </c>
      <c r="H44" s="89">
        <f>SUM(C44:G44)</f>
        <v>2818.24315964</v>
      </c>
    </row>
    <row r="45" spans="1:12">
      <c r="B45" t="s">
        <v>44</v>
      </c>
      <c r="C45">
        <v>96</v>
      </c>
      <c r="D45">
        <v>12</v>
      </c>
      <c r="E45">
        <v>200</v>
      </c>
      <c r="F45">
        <v>170</v>
      </c>
      <c r="G45">
        <v>80</v>
      </c>
      <c r="H45"/>
    </row>
    <row r="46" spans="1:12">
      <c r="B46" t="s">
        <v>113</v>
      </c>
      <c r="C46" s="89">
        <f>SUM(C44/C45)</f>
        <v>8.092805211836</v>
      </c>
      <c r="D46" s="89">
        <f>SUM(D44/D45)</f>
        <v>18.379169494723</v>
      </c>
      <c r="E46" s="89">
        <f>SUM(E44/E45)</f>
        <v>1.0902897157887</v>
      </c>
      <c r="F46" s="89">
        <f>SUM(F44/F45)</f>
        <v>3.5090837071181</v>
      </c>
      <c r="G46" s="89">
        <f>SUM(G44/G45)</f>
        <v>12.577270649991</v>
      </c>
      <c r="H46"/>
    </row>
    <row r="47" spans="1:12">
      <c r="B47" t="s">
        <v>114</v>
      </c>
      <c r="C47" s="95">
        <f>C46*3.7</f>
        <v>29.943379283793</v>
      </c>
      <c r="D47" s="95">
        <f>D46*3.7</f>
        <v>68.002927130476</v>
      </c>
      <c r="E47" s="95">
        <f>E46*3.7</f>
        <v>4.034071948418</v>
      </c>
      <c r="F47" s="95">
        <f>F46*3.7</f>
        <v>12.983609716337</v>
      </c>
      <c r="G47" s="95">
        <f>G46*3.7</f>
        <v>46.535901404965</v>
      </c>
      <c r="H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