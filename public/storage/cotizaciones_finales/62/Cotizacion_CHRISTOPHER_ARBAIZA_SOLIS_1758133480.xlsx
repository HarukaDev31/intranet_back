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<sst xmlns="http://schemas.openxmlformats.org/spreadsheetml/2006/main" uniqueCount="121">
  <si>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</si>
  <si>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</si>
  <si>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</si>
  <si>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</si>
  <si>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CHRISTOPHER ARBAIZA SOLIS</t>
  </si>
  <si>
    <t>SERVICIO:</t>
  </si>
  <si>
    <t>CARGA CONSOLIDADA</t>
  </si>
  <si>
    <t>N° CAJAS:</t>
  </si>
  <si>
    <t>APELLIDO:</t>
  </si>
  <si>
    <t>FECHA:</t>
  </si>
  <si>
    <t>PESO:</t>
  </si>
  <si>
    <t>669.4 Kg</t>
  </si>
  <si>
    <t>DNI/RUC:</t>
  </si>
  <si>
    <t>ORIGEN:</t>
  </si>
  <si>
    <t>CHINA</t>
  </si>
  <si>
    <t>MEDIDA:</t>
  </si>
  <si>
    <t>TELEFONO:</t>
  </si>
  <si>
    <t>51 972263251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</si>
  <si>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</si>
  <si>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</si>
  <si>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</si>
  <si>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</si>
  <si>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</si>
  <si>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</si>
  <si>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</si>
  <si>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</si>
  <si>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</si>
  <si>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</si>
  <si>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</si>
  <si>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</si>
  <si>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</si>
  <si>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</si>
  <si>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</si>
  <si>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</si>
  <si>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</si>
  <si>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</si>
  <si>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</si>
  <si>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</si>
  <si>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</si>
  <si>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</si>
  <si>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</si>
  <si>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</si>
  <si>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</si>
  <si>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</si>
  <si>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</si>
  <si>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</si>
  <si>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</si>
  <si>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</si>
  <si>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</si>
  <si>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</si>
  <si>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</si>
  <si>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</si>
  <si>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</si>
  <si>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</si>
  <si>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</si>
  <si>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</si>
  <si>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</si>
  <si>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</si>
  <si>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</si>
  <si>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</si>
  <si>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</si>
  <si>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</si>
  <si>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</si>
  <si>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</si>
  <si>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</si>
  <si>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</si>
  <si>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</si>
  <si>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</si>
  <si>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</si>
  <si>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</si>
  <si>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</si>
  <si>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</si>
  <si>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</si>
  <si>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</si>
  <si>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</si>
  <si>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</si>
  <si>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</si>
  <si>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</si>
  <si>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</si>
  <si>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</si>
  <si>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</si>
  <si>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</si>
  <si>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</si>
  <si>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</si>
  <si>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</si>
  <si>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CHRISTOPHER ARBAIZA SOLIS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</si>
  <si>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</si>
  <si>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</si>
  <si>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</si>
  <si>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</si>
  <si>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</si>
  <si>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</si>
  <si>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</si>
  <si>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</si>
  <si>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</si>
  <si>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</si>
  <si>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</si>
  <si>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</si>
  <si>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</si>
  <si>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</si>
  <si>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</si>
  <si>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</si>
  <si>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CINTA DECORATIVA SATINADA</t>
  </si>
  <si>
    <t>CINTA DECORATIVA</t>
  </si>
  <si>
    <t>CINTA DECORATIVA ESTILO ESCARCHADO</t>
  </si>
  <si>
    <t>BOLSA DECORATIVA GRANDE PARA FLORES</t>
  </si>
  <si>
    <t>BOLSA DE DECORACION PARA REGALO</t>
  </si>
  <si>
    <t>BOLSA DE REGALO PARA FLORES</t>
  </si>
  <si>
    <t>BOLSA DE REGALO CON ASAS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</si>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</sst>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71889152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3.5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'2'!I11</f>
        <v>506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'2'!I14 + '2'!I17</f>
        <v>81.194836165188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587.19483616519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'2'!I28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'2'!I29</f>
        <v>93.95117378643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'2'!I30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93.95117378643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'2'!I31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93.95117378643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506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'2'!I40, '2'!I40*J11)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506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390</v>
      </c>
      <c r="G36" s="66">
        <f>+'2'!$C$10</f>
        <v>390</v>
      </c>
      <c r="H36" s="67"/>
      <c r="I36" s="27">
        <f>+'2'!$C$46</f>
        <v>2.7845137154617</v>
      </c>
      <c r="J36" s="27">
        <f>+F36*I36</f>
        <v>1085.9603490301</v>
      </c>
      <c r="K36" s="54">
        <f>I36*3.7</f>
        <v>10.302700747208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1500</v>
      </c>
      <c r="G37" s="66">
        <f>+'2'!$D$10</f>
        <v>1500</v>
      </c>
      <c r="H37" s="67"/>
      <c r="I37" s="27">
        <f>+'2'!$D$46</f>
        <v>1.2041140391186</v>
      </c>
      <c r="J37" s="27">
        <f>+F37*I37</f>
        <v>1806.1710586779</v>
      </c>
      <c r="K37" s="54">
        <f>I37*3.7</f>
        <v>4.4552219447387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590</v>
      </c>
      <c r="G38" s="66">
        <f>+'2'!$E$10</f>
        <v>590</v>
      </c>
      <c r="H38" s="67"/>
      <c r="I38" s="27">
        <f>+'2'!$E$46</f>
        <v>2.3179195253032</v>
      </c>
      <c r="J38" s="27">
        <f>+F38*I38</f>
        <v>1367.5725199289</v>
      </c>
      <c r="K38" s="82">
        <f>I38*3.7</f>
        <v>8.576302243622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2480</v>
      </c>
      <c r="G39" s="2"/>
      <c r="H39" s="2"/>
      <c r="J39" s="28">
        <f>+SUM(J36:J38)</f>
        <v>4259.7039276368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19.995" bestFit="true" customWidth="true" style="0"/>
    <col min="5" max="5" width="41.133" bestFit="true" customWidth="true" style="0"/>
    <col min="6" max="6" width="42.418" bestFit="true" customWidth="true" style="0"/>
    <col min="7" max="7" width="37.705" bestFit="true" customWidth="true" style="0"/>
    <col min="8" max="8" width="32.992" bestFit="true" customWidth="true" style="0"/>
    <col min="9" max="9" width="29.421" bestFit="true" customWidth="true" style="0"/>
    <col min="10" max="10" width="11.711" bestFit="true" customWidth="true" style="0"/>
  </cols>
  <sheetData>
    <row r="3" spans="1:14">
      <c r="B3" s="85" t="s">
        <v>86</v>
      </c>
      <c r="C3"/>
      <c r="D3"/>
      <c r="E3"/>
      <c r="F3"/>
      <c r="G3"/>
    </row>
    <row r="5" spans="1:14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111</v>
      </c>
    </row>
    <row r="6" spans="1:14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91">
        <v>669.4</v>
      </c>
      <c r="M6" s="90" t="s">
        <v>109</v>
      </c>
      <c r="N6" s="90" t="s">
        <v>110</v>
      </c>
    </row>
    <row r="7" spans="1:14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92">
        <v>3.61</v>
      </c>
      <c r="M7" s="90" t="s">
        <v>19</v>
      </c>
      <c r="N7" s="90">
        <v>300</v>
      </c>
    </row>
    <row r="8" spans="1:14">
      <c r="B8" t="s">
        <v>90</v>
      </c>
      <c r="C8" s="89">
        <v>1.85</v>
      </c>
      <c r="D8" s="89">
        <v>0.8</v>
      </c>
      <c r="E8" s="89">
        <v>1.54</v>
      </c>
      <c r="F8" s="89">
        <v>0.47666666666667</v>
      </c>
      <c r="G8" s="89">
        <v>0.29</v>
      </c>
      <c r="H8" s="89">
        <v>0.25</v>
      </c>
      <c r="I8" s="89">
        <v>0.23</v>
      </c>
      <c r="J8"/>
    </row>
    <row r="9" spans="1:14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/>
    </row>
    <row r="10" spans="1:14">
      <c r="B10" t="s">
        <v>92</v>
      </c>
      <c r="C10">
        <v>390</v>
      </c>
      <c r="D10">
        <v>1500</v>
      </c>
      <c r="E10">
        <v>590</v>
      </c>
      <c r="F10">
        <v>600</v>
      </c>
      <c r="G10">
        <v>1600</v>
      </c>
      <c r="H10">
        <v>1100</v>
      </c>
      <c r="I10">
        <v>2200</v>
      </c>
      <c r="J10">
        <f>SUM(C10:I10)</f>
        <v>7980</v>
      </c>
    </row>
    <row r="11" spans="1:14">
      <c r="B11" t="s">
        <v>93</v>
      </c>
      <c r="C11" s="89">
        <f>C8*C10</f>
        <v>721.5</v>
      </c>
      <c r="D11" s="89">
        <f>D8*D10</f>
        <v>1200</v>
      </c>
      <c r="E11" s="89">
        <f>E8*E10</f>
        <v>908.6</v>
      </c>
      <c r="F11" s="89">
        <f>F8*F10</f>
        <v>286</v>
      </c>
      <c r="G11" s="89">
        <f>G8*G10</f>
        <v>464</v>
      </c>
      <c r="H11" s="89">
        <f>H8*H10</f>
        <v>275</v>
      </c>
      <c r="I11" s="89">
        <f>I8*I10</f>
        <v>506</v>
      </c>
      <c r="J11">
        <f>SUM(C11:I11)</f>
        <v>4361.1</v>
      </c>
    </row>
    <row r="12" spans="1:14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/>
    </row>
    <row r="13" spans="1:14">
      <c r="B13" t="s">
        <v>95</v>
      </c>
      <c r="C13" s="93">
        <f>C11/J11</f>
        <v>0.16543991194882</v>
      </c>
      <c r="D13" s="93">
        <f>D11/J11</f>
        <v>0.27515993671321</v>
      </c>
      <c r="E13" s="93">
        <f>E11/J11</f>
        <v>0.20834193208136</v>
      </c>
      <c r="F13" s="93">
        <f>F11/J11</f>
        <v>0.06557978491665</v>
      </c>
      <c r="G13" s="93">
        <f>G11/J11</f>
        <v>0.10639517552911</v>
      </c>
      <c r="H13" s="93">
        <f>H11/J11</f>
        <v>0.063057485496778</v>
      </c>
      <c r="I13" s="93">
        <f>I11/J11</f>
        <v>0.11602577331407</v>
      </c>
      <c r="J13"/>
    </row>
    <row r="14" spans="1:14">
      <c r="B14" t="s">
        <v>96</v>
      </c>
      <c r="C14" s="89">
        <f>J14*C13</f>
        <v>107.50285478434</v>
      </c>
      <c r="D14" s="89">
        <f>J14*D13</f>
        <v>178.79892687625</v>
      </c>
      <c r="E14" s="89">
        <f>J14*E13</f>
        <v>135.38058746646</v>
      </c>
      <c r="F14" s="89">
        <f>J14*F13</f>
        <v>42.613744238839</v>
      </c>
      <c r="G14" s="89">
        <f>J14*G13</f>
        <v>69.135585058815</v>
      </c>
      <c r="H14" s="89">
        <f>J14*H13</f>
        <v>40.974754075807</v>
      </c>
      <c r="I14" s="89">
        <f>J14*I13</f>
        <v>75.393547499484</v>
      </c>
      <c r="J14">
        <f>IF(J7&lt;1, N7*0.6, N7*0.6*J7)</f>
        <v>649.8</v>
      </c>
    </row>
    <row r="15" spans="1:14">
      <c r="B15" t="s">
        <v>97</v>
      </c>
      <c r="C15" s="89">
        <f>C11+C14</f>
        <v>829.00285478434</v>
      </c>
      <c r="D15" s="89">
        <f>D11+D14</f>
        <v>1378.7989268762</v>
      </c>
      <c r="E15" s="89">
        <f>E11+E14</f>
        <v>1043.9805874665</v>
      </c>
      <c r="F15" s="89">
        <f>F11+F14</f>
        <v>328.61374423884</v>
      </c>
      <c r="G15" s="89">
        <f>G11+G14</f>
        <v>533.13558505882</v>
      </c>
      <c r="H15" s="89">
        <f>H11+H14</f>
        <v>315.97475407581</v>
      </c>
      <c r="I15" s="89">
        <f>I11+I14</f>
        <v>581.39354749948</v>
      </c>
      <c r="J15"/>
    </row>
    <row r="16" spans="1:14">
      <c r="B16" s="88" t="s">
        <v>98</v>
      </c>
      <c r="C16" s="89">
        <f>C12+C14</f>
        <v>107.50285478434</v>
      </c>
      <c r="D16" s="89">
        <f>D12+D14</f>
        <v>178.79892687625</v>
      </c>
      <c r="E16" s="89">
        <f>E12+E14</f>
        <v>135.38058746646</v>
      </c>
      <c r="F16" s="89">
        <f>F12+F14</f>
        <v>42.613744238839</v>
      </c>
      <c r="G16" s="89">
        <f>G12+G14</f>
        <v>69.135585058815</v>
      </c>
      <c r="H16" s="89">
        <f>H12+H14</f>
        <v>40.974754075807</v>
      </c>
      <c r="I16" s="89">
        <f>I12+I14</f>
        <v>75.393547499484</v>
      </c>
      <c r="J16"/>
    </row>
    <row r="17" spans="1:14">
      <c r="B17" t="s">
        <v>99</v>
      </c>
      <c r="C17" s="89">
        <f>IF(J11&gt;5000,100*C13,50*C13)</f>
        <v>8.271995597441</v>
      </c>
      <c r="D17" s="89">
        <f>IF(J11&gt;5000,100*D13,50*D13)</f>
        <v>13.757996835661</v>
      </c>
      <c r="E17" s="89">
        <f>IF(J11&gt;5000,100*E13,50*E13)</f>
        <v>10.417096604068</v>
      </c>
      <c r="F17" s="89">
        <f>IF(J11&gt;5000,100*F13,50*F13)</f>
        <v>3.2789892458325</v>
      </c>
      <c r="G17" s="89">
        <f>IF(J11&gt;5000,100*G13,50*G13)</f>
        <v>5.3197587764555</v>
      </c>
      <c r="H17" s="89">
        <f>IF(J11&gt;5000,100*H13,50*H13)</f>
        <v>3.1528742748389</v>
      </c>
      <c r="I17" s="89">
        <f>IF(J11&gt;5000,100*I13,50*I13)</f>
        <v>5.8012886657036</v>
      </c>
      <c r="J17"/>
    </row>
    <row r="18" spans="1:14">
      <c r="B18" t="s">
        <v>100</v>
      </c>
      <c r="C18" s="89">
        <f>C15+C17</f>
        <v>837.27485038178</v>
      </c>
      <c r="D18" s="89">
        <f>D15+D17</f>
        <v>1392.5569237119</v>
      </c>
      <c r="E18" s="89">
        <f>E15+E17</f>
        <v>1054.3976840705</v>
      </c>
      <c r="F18" s="89">
        <f>F15+F17</f>
        <v>331.89273348467</v>
      </c>
      <c r="G18" s="89">
        <f>G15+G17</f>
        <v>538.45534383527</v>
      </c>
      <c r="H18" s="89">
        <f>H15+H17</f>
        <v>319.12762835065</v>
      </c>
      <c r="I18" s="89">
        <f>I15+I17</f>
        <v>587.19483616519</v>
      </c>
      <c r="J18"/>
    </row>
    <row r="19" spans="1:14">
      <c r="B19" s="88" t="s">
        <v>101</v>
      </c>
      <c r="C19" s="89">
        <f>C16+C17</f>
        <v>115.77485038178</v>
      </c>
      <c r="D19" s="89">
        <f>D16+D17</f>
        <v>192.55692371191</v>
      </c>
      <c r="E19" s="89">
        <f>E16+E17</f>
        <v>145.79768407053</v>
      </c>
      <c r="F19" s="89">
        <f>F16+F17</f>
        <v>45.892733484672</v>
      </c>
      <c r="G19" s="89">
        <f>G16+G17</f>
        <v>74.455343835271</v>
      </c>
      <c r="H19" s="89">
        <f>H16+H17</f>
        <v>44.127628350645</v>
      </c>
      <c r="I19" s="89">
        <f>I16+I17</f>
        <v>81.194836165188</v>
      </c>
      <c r="J19"/>
    </row>
    <row r="23" spans="1:14">
      <c r="B23" s="85" t="s">
        <v>118</v>
      </c>
      <c r="C23"/>
      <c r="D23"/>
      <c r="E23"/>
    </row>
    <row r="26" spans="1:14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f>SUM(C26:I26)</f>
        <v>0</v>
      </c>
    </row>
    <row r="27" spans="1:14">
      <c r="C27" s="94">
        <v>0.0</v>
      </c>
      <c r="D27" s="94">
        <v>0.0</v>
      </c>
      <c r="E27" s="94">
        <v>0.0</v>
      </c>
      <c r="F27" s="94">
        <v>0.06</v>
      </c>
      <c r="G27" s="94">
        <v>0.0</v>
      </c>
      <c r="H27" s="94">
        <v>0.0</v>
      </c>
      <c r="I27" s="94">
        <v>0.0</v>
      </c>
      <c r="J27" s="93">
        <f>SUM(C27:I27)</f>
        <v>0.06</v>
      </c>
    </row>
    <row r="28" spans="1:14">
      <c r="B28" t="s">
        <v>112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19.91356400908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SUM(C28:I28)</f>
        <v>19.91356400908</v>
      </c>
    </row>
    <row r="29" spans="1:14">
      <c r="B29" t="s">
        <v>31</v>
      </c>
      <c r="C29" s="89">
        <f>0.16*(MAX(C19,C18)+C28)</f>
        <v>133.96397606109</v>
      </c>
      <c r="D29" s="89">
        <f>0.16*(MAX(D19,D18)+D28)</f>
        <v>222.80910779391</v>
      </c>
      <c r="E29" s="89">
        <f>0.16*(MAX(E19,E18)+E28)</f>
        <v>168.70362945129</v>
      </c>
      <c r="F29" s="89">
        <f>0.16*(MAX(F19,F18)+F28)</f>
        <v>56.289007599001</v>
      </c>
      <c r="G29" s="89">
        <f>0.16*(MAX(G19,G18)+G28)</f>
        <v>86.152855013643</v>
      </c>
      <c r="H29" s="89">
        <f>0.16*(MAX(H19,H18)+H28)</f>
        <v>51.060420536103</v>
      </c>
      <c r="I29" s="89">
        <f>0.16*(MAX(I19,I18)+I28)</f>
        <v>93.95117378643</v>
      </c>
      <c r="J29" s="89">
        <f>SUM(C29:I29)</f>
        <v>812.93017024145</v>
      </c>
    </row>
    <row r="30" spans="1:14">
      <c r="B30" t="s">
        <v>32</v>
      </c>
      <c r="C30" s="89">
        <f>0.02*(MAX(C19,C18)+C28)</f>
        <v>16.745497007636</v>
      </c>
      <c r="D30" s="89">
        <f>0.02*(MAX(D19,D18)+D28)</f>
        <v>27.851138474238</v>
      </c>
      <c r="E30" s="89">
        <f>0.02*(MAX(E19,E18)+E28)</f>
        <v>21.087953681411</v>
      </c>
      <c r="F30" s="89">
        <f>0.02*(MAX(F19,F18)+F28)</f>
        <v>7.0361259498751</v>
      </c>
      <c r="G30" s="89">
        <f>0.02*(MAX(G19,G18)+G28)</f>
        <v>10.769106876705</v>
      </c>
      <c r="H30" s="89">
        <f>0.02*(MAX(H19,H18)+H28)</f>
        <v>6.3825525670129</v>
      </c>
      <c r="I30" s="89">
        <f>0.02*(MAX(I19,I18)+I28)</f>
        <v>11.743896723304</v>
      </c>
      <c r="J30" s="89">
        <f>SUM(C30:I30)</f>
        <v>101.61627128018</v>
      </c>
    </row>
    <row r="31" spans="1:14">
      <c r="B31" t="s">
        <v>113</v>
      </c>
      <c r="C31" s="89">
        <f>0.035*(MAX(C18,C19) +C28+C29+C30)</f>
        <v>34.579451320768</v>
      </c>
      <c r="D31" s="89">
        <f>0.035*(MAX(D18,D19) +D28+D29+D30)</f>
        <v>57.512600949302</v>
      </c>
      <c r="E31" s="89">
        <f>0.035*(MAX(E18,E19) +E28+E29+E30)</f>
        <v>43.546624352113</v>
      </c>
      <c r="F31" s="89">
        <f>0.035*(MAX(F18,F19) +F28+F29+F30)</f>
        <v>14.529600086492</v>
      </c>
      <c r="G31" s="89">
        <f>0.035*(MAX(G18,G19) +G28+G29+G30)</f>
        <v>22.238205700397</v>
      </c>
      <c r="H31" s="89">
        <f>0.035*(MAX(H18,H19) +H28+H29+H30)</f>
        <v>13.179971050882</v>
      </c>
      <c r="I31" s="89">
        <f>0.035*(MAX(I18,I19) +I28+I29+I30)</f>
        <v>24.251146733622</v>
      </c>
      <c r="J31" s="89">
        <f>SUM(C31:I31)</f>
        <v>209.83760019358</v>
      </c>
    </row>
    <row r="32" spans="1:14">
      <c r="B32" t="s">
        <v>36</v>
      </c>
      <c r="C32" s="89">
        <f>SUM(C28:C31)</f>
        <v>185.28892438949</v>
      </c>
      <c r="D32" s="89">
        <f>SUM(D28:D31)</f>
        <v>308.17284721745</v>
      </c>
      <c r="E32" s="89">
        <f>SUM(E28:E31)</f>
        <v>233.33820748481</v>
      </c>
      <c r="F32" s="89">
        <f>SUM(F28:F31)</f>
        <v>97.768297644448</v>
      </c>
      <c r="G32" s="89">
        <f>SUM(G28:G31)</f>
        <v>119.16016759075</v>
      </c>
      <c r="H32" s="89">
        <f>SUM(H28:H31)</f>
        <v>70.622944153998</v>
      </c>
      <c r="I32" s="89">
        <f>SUM(I28:I31)</f>
        <v>129.94621724336</v>
      </c>
      <c r="J32" s="89">
        <f>SUM(J28:J31)</f>
        <v>1144.2976057243</v>
      </c>
    </row>
    <row r="37" spans="1:14">
      <c r="B37" s="85" t="s">
        <v>120</v>
      </c>
      <c r="C37"/>
      <c r="D37"/>
      <c r="E37"/>
    </row>
    <row r="40" spans="1:14">
      <c r="B40" t="s">
        <v>114</v>
      </c>
      <c r="C40" s="89">
        <f>C13*J40</f>
        <v>71.668569856229</v>
      </c>
      <c r="D40" s="89">
        <f>D13*J40</f>
        <v>119.19928458416</v>
      </c>
      <c r="E40" s="89">
        <f>E13*J40</f>
        <v>90.253724977643</v>
      </c>
      <c r="F40" s="89">
        <f>F13*J40</f>
        <v>28.409162825893</v>
      </c>
      <c r="G40" s="89">
        <f>G13*J40</f>
        <v>46.09039003921</v>
      </c>
      <c r="H40" s="89">
        <f>H13*J40</f>
        <v>27.316502717204</v>
      </c>
      <c r="I40" s="89">
        <f>I13*J40</f>
        <v>50.262364999656</v>
      </c>
      <c r="J40">
        <f>IF(J7&lt;1, N7*0.4,N7*0.4*J7)</f>
        <v>433.2</v>
      </c>
    </row>
    <row r="41" spans="1:14">
      <c r="B41"/>
    </row>
    <row r="43" spans="1:14">
      <c r="B43" t="s">
        <v>114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111</v>
      </c>
    </row>
    <row r="44" spans="1:14">
      <c r="B44" t="s">
        <v>115</v>
      </c>
      <c r="C44" s="89">
        <f>SUM(C15,C40,C32,(C26))</f>
        <v>1085.9603490301</v>
      </c>
      <c r="D44" s="89">
        <f>SUM(D15,D40,D32,(D26))</f>
        <v>1806.1710586779</v>
      </c>
      <c r="E44" s="89">
        <f>SUM(E15,E40,E32,(E26))</f>
        <v>1367.5725199289</v>
      </c>
      <c r="F44" s="89">
        <f>SUM(F15,F40,F32,(F26))</f>
        <v>454.79120470918</v>
      </c>
      <c r="G44" s="89">
        <f>SUM(G15,G40,G32,(G26))</f>
        <v>698.38614268877</v>
      </c>
      <c r="H44" s="89">
        <f>SUM(H15,H40,H32,(H26))</f>
        <v>413.91420094701</v>
      </c>
      <c r="I44" s="89">
        <f>SUM(I15,I40,I32,(I26))</f>
        <v>761.6021297425</v>
      </c>
      <c r="J44" s="89">
        <f>SUM(C44:I44)</f>
        <v>6588.3976057243</v>
      </c>
    </row>
    <row r="45" spans="1:14">
      <c r="B45" t="s">
        <v>45</v>
      </c>
      <c r="C45">
        <v>390</v>
      </c>
      <c r="D45">
        <v>1500</v>
      </c>
      <c r="E45">
        <v>590</v>
      </c>
      <c r="F45">
        <v>600</v>
      </c>
      <c r="G45">
        <v>1600</v>
      </c>
      <c r="H45">
        <v>1100</v>
      </c>
      <c r="I45">
        <v>2200</v>
      </c>
      <c r="J45"/>
    </row>
    <row r="46" spans="1:14">
      <c r="B46" t="s">
        <v>116</v>
      </c>
      <c r="C46" s="89">
        <f>SUM(C44/C45)</f>
        <v>2.7845137154617</v>
      </c>
      <c r="D46" s="89">
        <f>SUM(D44/D45)</f>
        <v>1.2041140391186</v>
      </c>
      <c r="E46" s="89">
        <f>SUM(E44/E45)</f>
        <v>2.3179195253032</v>
      </c>
      <c r="F46" s="89">
        <f>SUM(F44/F45)</f>
        <v>0.75798534118197</v>
      </c>
      <c r="G46" s="89">
        <f>SUM(G44/G45)</f>
        <v>0.43649133918048</v>
      </c>
      <c r="H46" s="89">
        <f>SUM(H44/H45)</f>
        <v>0.37628563722455</v>
      </c>
      <c r="I46" s="89">
        <f>SUM(I44/I45)</f>
        <v>0.34618278624659</v>
      </c>
      <c r="J46"/>
    </row>
    <row r="47" spans="1:14">
      <c r="B47" t="s">
        <v>117</v>
      </c>
      <c r="C47" s="95">
        <f>C46*3.7</f>
        <v>10.302700747208</v>
      </c>
      <c r="D47" s="95">
        <f>D46*3.7</f>
        <v>4.4552219447387</v>
      </c>
      <c r="E47" s="95">
        <f>E46*3.7</f>
        <v>8.576302243622</v>
      </c>
      <c r="F47" s="95">
        <f>F46*3.7</f>
        <v>2.8045457623733</v>
      </c>
      <c r="G47" s="95">
        <f>G46*3.7</f>
        <v>1.6150179549678</v>
      </c>
      <c r="H47" s="95">
        <f>H46*3.7</f>
        <v>1.3922568577308</v>
      </c>
      <c r="I47" s="95">
        <f>I46*3.7</f>
        <v>1.2808763091124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