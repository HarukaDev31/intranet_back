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png" ContentType="image/png"/>
  <Default Extension="jpeg" ContentType="image/jpeg"/>
  <Default Extension="bin" ContentType="application/vnd.openxmlformats-officedocument.spreadsheetml.printerSettings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1" autoFilterDateGrouping="true" firstSheet="0" minimized="false" showHorizontalScroll="true" showSheetTabs="true" showVerticalScroll="true" tabRatio="600" visibility="visible"/>
  </bookViews>
  <sheets>
    <sheet name="1" sheetId="1" r:id="rId4"/>
    <sheet name="2" sheetId="2" r:id="rId5"/>
  </sheets>
  <definedNames>
    <definedName name="_xlnm.Print_Area" localSheetId="0">'1'!$A$1:$M$103</definedName>
  </definedNames>
  <calcPr calcId="999999" calcMode="auto" calcCompleted="1" fullCalcOnLoad="0" forceFullCalc="0"/>
</workbook>
</file>

<file path=xl/sharedStrings.xml><?xml version="1.0" encoding="utf-8"?>
<sst xmlns="http://schemas.openxmlformats.org/spreadsheetml/2006/main" uniqueCount="115">
  <si>
    <t>PRO MUNDO COMEX S.A.C.</t>
  </si>
  <si>
    <t xml:space="preserve">         RUC: 20612452432</t>
  </si>
  <si>
    <t>COTIZACION N002</t>
  </si>
  <si>
    <t>NOMBRE:</t>
  </si>
  <si>
    <t>ANTHONY ROCCA CAQUI 2</t>
  </si>
  <si>
    <t>SERVICIO:</t>
  </si>
  <si>
    <t>CARGA CONSOLIDADA</t>
  </si>
  <si>
    <t>N° CAJAS:</t>
  </si>
  <si>
    <t>APELLIDO:</t>
  </si>
  <si>
    <t>FECHA:</t>
  </si>
  <si>
    <t>PESO:</t>
  </si>
  <si>
    <t>22.3 Kg</t>
  </si>
  <si>
    <t>DNI/RUC:</t>
  </si>
  <si>
    <t>ORIGEN:</t>
  </si>
  <si>
    <t>CHINA</t>
  </si>
  <si>
    <t>MEDIDA:</t>
  </si>
  <si>
    <t>TELEFONO:</t>
  </si>
  <si>
    <t>51 951880948</t>
  </si>
  <si>
    <t>CLIENTE:</t>
  </si>
  <si>
    <t>ANTIGUO</t>
  </si>
  <si>
    <t>CBM</t>
  </si>
  <si>
    <t>CALCULO DE BASE IMPONIBLE</t>
  </si>
  <si>
    <t>MONTO</t>
  </si>
  <si>
    <t>MONEDA</t>
  </si>
  <si>
    <t>VALOR DE CARGA</t>
  </si>
  <si>
    <t>USD</t>
  </si>
  <si>
    <t>FLETE INTERNACIONAL + SEGURO</t>
  </si>
  <si>
    <t>VALOR CIF</t>
  </si>
  <si>
    <t>CALCULO DE TRIBUTOS</t>
  </si>
  <si>
    <t>%</t>
  </si>
  <si>
    <t>ADVALOREM</t>
  </si>
  <si>
    <t>IGV</t>
  </si>
  <si>
    <t>IPM</t>
  </si>
  <si>
    <t>SUB TOTAL</t>
  </si>
  <si>
    <t>PERCEPCIÓN</t>
  </si>
  <si>
    <t>3.5%</t>
  </si>
  <si>
    <t>TOTAL</t>
  </si>
  <si>
    <t>RESUMEN DE COTIZACIÓN</t>
  </si>
  <si>
    <t>VALOR DE CARGA (PAGO AL PROVEEDOR)</t>
  </si>
  <si>
    <t>SERVICIO DE IMPORTACIÓN  (ORIGEN -FLETE - DESTINO)</t>
  </si>
  <si>
    <t>IMPUESTOS</t>
  </si>
  <si>
    <t>MONTO TOTAL</t>
  </si>
  <si>
    <t>SIMULACIÓN DEL PRECIO PUESTO EN PERÚ POR PIEZA</t>
  </si>
  <si>
    <t># ITEM</t>
  </si>
  <si>
    <t>NOMBRE PRODUCTO</t>
  </si>
  <si>
    <t>CANTIDAD</t>
  </si>
  <si>
    <t>COSTO UNI.</t>
  </si>
  <si>
    <t>PRECIO U.</t>
  </si>
  <si>
    <t>PRECIO UNIT. (SOLES)</t>
  </si>
  <si>
    <t>NOTAS: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</si>
  <si>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Las fechas brindadas son estimadas, estan sujetas a variación.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</si>
  <si>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No se emite comprobante por concepto de "PERCEPCIÓN, ANTI DUMPING, GESTIÓN DE COMPRA"</t>
    </r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</si>
  <si>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A nosotros se nos pagan los </t>
    </r>
    <r>
      <rPr>
        <rFont val="Calibri Light"/>
        <b val="true"/>
        <i val="false"/>
        <strike val="false"/>
        <color rgb="FF000000"/>
        <sz val="14"/>
        <u val="none"/>
      </rPr>
      <t xml:space="preserve">Gastos Logísticos + Impuestos</t>
    </r>
    <r>
      <rPr>
        <rFont val="Calibri Light"/>
        <b val="false"/>
        <i val="false"/>
        <strike val="false"/>
        <color rgb="FF000000"/>
        <sz val="14"/>
        <u val="none"/>
      </rPr>
      <t xml:space="preserve"> una semana antes de que el contenedor</t>
    </r>
  </si>
  <si>
    <t>llegue al puerto del Callao.</t>
  </si>
  <si>
    <r>
      <rPr>
        <rFont val="Calibri Light"/>
        <b val="true"/>
        <i val="false"/>
        <strike val="false"/>
        <color rgb="FF000000"/>
        <sz val="14"/>
        <u val="none"/>
      </rPr>
      <t xml:space="preserve">*</t>
    </r>
    <r>
      <rPr>
        <rFont val="Calibri Light"/>
        <b val="false"/>
        <i val="false"/>
        <strike val="false"/>
        <color rgb="FF000000"/>
        <sz val="14"/>
        <u val="none"/>
      </rPr>
      <t xml:space="preserve">El tipo de cambio referencial usado para la conversión a soles es del 3.70</t>
    </r>
  </si>
  <si>
    <t xml:space="preserve">       RUC: 20612452432</t>
  </si>
  <si>
    <t>TÉRMINOS Y CONDICIONES:</t>
  </si>
  <si>
    <t xml:space="preserve">1. Todos los pagos se realizan en dólares. </t>
  </si>
  <si>
    <t>2.Todas las marcas de los productos deben ser verificadas por el cliente,</t>
  </si>
  <si>
    <t xml:space="preserve"> No se aceptan marcas con medidas  de frontera. </t>
  </si>
  <si>
    <t>3. No somos responsables de retraso del proveedor para entregar la carga.</t>
  </si>
  <si>
    <t>4. La carga deberá llegar al almacén –Yiwu en el rango de fecha indicado por su asesor.</t>
  </si>
  <si>
    <t>En caso contrario, asumirá el costo de  almacenaje $30 y será embarcado en la próxima salida.</t>
  </si>
  <si>
    <t>5.Los pagos realizados fuera de fecha están sujetos a un recargo de S/.30 por día.</t>
  </si>
  <si>
    <t>6.Se procederá a cobrar S/.30 x día de almacenaje si el cliente no recoge su pedido en el plazo acordado.</t>
  </si>
  <si>
    <t>7.Los envíos a provincia se realizan a través de la agencia Marvisur o Shalom, con previo pago de flete interno.</t>
  </si>
  <si>
    <t>Costo: desde s/20.00</t>
  </si>
  <si>
    <t>8. Las cargas mayores a 200 kg x bulto tendrán un costo adicional por manipuleo, consultar con el</t>
  </si>
  <si>
    <t>coordinador  logístico la tarifa.</t>
  </si>
  <si>
    <t>9.No hay opción de reembolso.</t>
  </si>
  <si>
    <t>10. Si aduana realiza un ajuste de valor a su importación, el cliente tendrá que pagar la diferencia.</t>
  </si>
  <si>
    <t>11. El costo por metro cubico incluye: Flete – Ag. Aduana – Costos en destino.</t>
  </si>
  <si>
    <t>12.No se aceptan productos restringido.</t>
  </si>
  <si>
    <r>
      <t xml:space="preserve">13.</t>
    </r>
    <r>
      <rPr>
        <rFont val="Calibri Light"/>
        <b val="false"/>
        <i val="false"/>
        <strike val="false"/>
        <color rgb="FF000000"/>
        <sz val="7"/>
        <u val="none"/>
      </rPr>
      <t xml:space="preserve"> </t>
    </r>
    <r>
      <rPr>
        <rFont val="Calibri Light"/>
        <b val="false"/>
        <i val="false"/>
        <strike val="false"/>
        <color rgb="FF000000"/>
        <sz val="11"/>
        <u val="none"/>
      </rPr>
      <t xml:space="preserve">Los documentos de importación deber ser entregados a tiempo, de lo contrario, el participante no tendrá opción</t>
    </r>
  </si>
  <si>
    <t>de acogerse a un beneficio arancelario (C.O).</t>
  </si>
  <si>
    <t xml:space="preserve">14.En caso el cliente esté importando una carga que no sea legal y la empresa Pro Business se vea perjudicada, </t>
  </si>
  <si>
    <t>se procederá a realizar las acciones legales del caso.</t>
  </si>
  <si>
    <t xml:space="preserve">15.El cliente estará sujeto a pagar mayor el ad- valorem en caso aduanas aplique cambios de partida. </t>
  </si>
  <si>
    <t>16.Si el cliente no paga los tributos o gastos administrativos de su cotización, Pro Business será dueño total de la carga.</t>
  </si>
  <si>
    <t>17.Los ajustes de valor que aplique la aduana serán asumidos por el cliente.</t>
  </si>
  <si>
    <t>18.No somos responsable de las mermas o faltante de la carga (entregamos su pedido tal cual el proveedor envío).</t>
  </si>
  <si>
    <t>19.La fecha de entrega es aproximada, está sujeto a variaciones.</t>
  </si>
  <si>
    <t>20.Las mercancías son declaradas a nombre de la empresa Grupo Pro Business.</t>
  </si>
  <si>
    <t>21.Se emitirá comprobante (boleta o Factura) de su importación en base a la estrategia de declaración realizada.</t>
  </si>
  <si>
    <t>22. El monto facturado sera en base al valor de la mercaderia + Gastos Logisticos</t>
  </si>
  <si>
    <t>Hola ANTHONY ROCCA CAQUI 2 😁 un gusto saludarte!
A continuación te envío la cotización final de tu importación📋📦.
🙋‍♂️ PAGO PENDIENTE :
☑️Costo CBM: $636
☑️Impuestos: $419.14
☑️ Total: $1055.14
Pronto le aviso nuevos avances, que tengan buen día🚢
Último día de pago:</t>
  </si>
  <si>
    <t>Calculo de Tributos</t>
  </si>
  <si>
    <t>Nombres</t>
  </si>
  <si>
    <t>Peso</t>
  </si>
  <si>
    <t>Valor CBM</t>
  </si>
  <si>
    <t>Valor Unitario</t>
  </si>
  <si>
    <t>Valoracion</t>
  </si>
  <si>
    <t>Cantidad</t>
  </si>
  <si>
    <t>Valor FOB</t>
  </si>
  <si>
    <t>Valor FOB Valoracion</t>
  </si>
  <si>
    <t>Distribucion %</t>
  </si>
  <si>
    <t>Flete</t>
  </si>
  <si>
    <t>Valor CFR</t>
  </si>
  <si>
    <t>CFR Valorizado</t>
  </si>
  <si>
    <t>Seguro</t>
  </si>
  <si>
    <t>Valor CIF</t>
  </si>
  <si>
    <t>CIF Valorizado</t>
  </si>
  <si>
    <t>MOCHILA VIAJERA</t>
  </si>
  <si>
    <t>Tipo Cliente</t>
  </si>
  <si>
    <t>Tarifa</t>
  </si>
  <si>
    <t>Total</t>
  </si>
  <si>
    <t>AD VALOREM</t>
  </si>
  <si>
    <t>PERCEPCION</t>
  </si>
  <si>
    <t>ITEM</t>
  </si>
  <si>
    <t>COSTO TOTAL</t>
  </si>
  <si>
    <t>COSTO UNITARIO</t>
  </si>
  <si>
    <t>COSTO SOLES</t>
  </si>
  <si>
    <t>Tributos Aplicables</t>
  </si>
  <si>
    <t>ANTIDUMPING</t>
  </si>
  <si>
    <t>Costos Destinos</t>
  </si>
</sst>
</file>

<file path=xl/styles.xml><?xml version="1.0" encoding="utf-8"?>
<styleSheet xmlns="http://schemas.openxmlformats.org/spreadsheetml/2006/main" xml:space="preserve">
  <numFmts count="11">
    <numFmt numFmtId="164" formatCode="[$$-409]#,##0"/>
    <numFmt numFmtId="165" formatCode="_-[$$-540A]* #,##0.00_ ;_-[$$-540A]* \-#,##0.00\ ;_-[$$-540A]* &quot;-&quot;??_ ;_-@_ "/>
    <numFmt numFmtId="166" formatCode="_-[$$-409]* #,##0.00_ ;_-[$$-409]* \-#,##0.00\ ;_-[$$-409]* &quot;-&quot;??_ ;_-@_ "/>
    <numFmt numFmtId="167" formatCode="_-[$$-409]* #,##0.0_ ;_-[$$-409]* \-#,##0.0\ ;_-[$$-409]* &quot;-&quot;??_ ;_-@_ "/>
    <numFmt numFmtId="168" formatCode="_-[$S/-280A]\ * #,##0.00_-;\-[$S/-280A]\ * #,##0.00_-;_-[$S/-280A]\ * &quot;-&quot;??_-;_-@_-"/>
    <numFmt numFmtId="169" formatCode="0.0\ &quot;kg&quot;"/>
    <numFmt numFmtId="170" formatCode="0.0\ &quot;cm&quot;"/>
    <numFmt numFmtId="171" formatCode="#,##0.000\ &quot;m3&quot;"/>
    <numFmt numFmtId="172" formatCode="&quot;$&quot;#,##0_-"/>
    <numFmt numFmtId="173" formatCode="0.00&quot; Kg&quot;"/>
    <numFmt numFmtId="174" formatCode="&quot;S/.&quot; #,##0.00_-"/>
  </numFmts>
  <fonts count="18">
    <font>
      <b val="0"/>
      <i val="0"/>
      <strike val="0"/>
      <u val="none"/>
      <sz val="11"/>
      <color rgb="FF000000"/>
      <name val="Calibri"/>
      <scheme val="minor"/>
    </font>
    <font>
      <b val="0"/>
      <i val="0"/>
      <strike val="0"/>
      <u val="none"/>
      <sz val="11"/>
      <color rgb="FF000000"/>
      <name val="Calibri Light"/>
      <scheme val="major"/>
    </font>
    <font>
      <b val="1"/>
      <i val="0"/>
      <strike val="0"/>
      <u val="none"/>
      <sz val="11"/>
      <color rgb="FF000000"/>
      <name val="Calibri Light"/>
      <scheme val="major"/>
    </font>
    <font>
      <b val="0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8"/>
      <color rgb="FF000000"/>
      <name val="Calibri"/>
      <scheme val="minor"/>
    </font>
    <font>
      <b val="1"/>
      <i val="0"/>
      <strike val="0"/>
      <u val="none"/>
      <sz val="11"/>
      <color rgb="FF000000"/>
      <name val="Calibri"/>
      <scheme val="minor"/>
    </font>
    <font>
      <b val="1"/>
      <i val="0"/>
      <strike val="0"/>
      <u val="none"/>
      <sz val="12"/>
      <color rgb="FF000000"/>
      <name val="Calibri"/>
      <scheme val="minor"/>
    </font>
    <font>
      <b val="0"/>
      <i val="0"/>
      <strike val="0"/>
      <u val="none"/>
      <sz val="11"/>
      <color rgb="FFFFFFFF"/>
      <name val="Calibri"/>
      <scheme val="minor"/>
    </font>
    <font>
      <b val="1"/>
      <i val="0"/>
      <strike val="0"/>
      <u val="single"/>
      <sz val="14"/>
      <color rgb="FF000000"/>
      <name val="Calibri Light"/>
      <scheme val="major"/>
    </font>
    <font>
      <b val="0"/>
      <i val="0"/>
      <strike val="0"/>
      <u val="single"/>
      <sz val="11"/>
      <color rgb="FF000000"/>
      <name val="Calibri"/>
      <scheme val="minor"/>
    </font>
    <font>
      <b val="1"/>
      <i val="0"/>
      <strike val="0"/>
      <u val="none"/>
      <sz val="20"/>
      <color rgb="FF000000"/>
      <name val="Calibri"/>
      <scheme val="minor"/>
    </font>
    <font>
      <b val="0"/>
      <i val="0"/>
      <strike val="0"/>
      <u val="none"/>
      <sz val="12"/>
      <color rgb="FFFFFFFF"/>
      <name val="Arial"/>
    </font>
    <font>
      <b val="1"/>
      <i val="0"/>
      <strike val="0"/>
      <u val="none"/>
      <sz val="20"/>
      <color rgb="FFFF500B"/>
      <name val="Calibri"/>
      <scheme val="minor"/>
    </font>
    <font>
      <b val="1"/>
      <i val="0"/>
      <strike val="0"/>
      <u val="none"/>
      <sz val="11"/>
      <color rgb="FFFFFFFF"/>
      <name val="Calibri Light"/>
      <scheme val="major"/>
    </font>
    <font>
      <b val="0"/>
      <i val="0"/>
      <strike val="0"/>
      <u val="none"/>
      <sz val="14"/>
      <color rgb="FF000000"/>
      <name val="Calibri Light"/>
      <scheme val="major"/>
    </font>
    <font>
      <b val="0"/>
      <i val="0"/>
      <strike val="0"/>
      <u val="none"/>
      <sz val="11"/>
      <color rgb="FFFFFFFF"/>
      <name val="Arial"/>
    </font>
    <font>
      <b val="1"/>
      <i val="0"/>
      <strike val="0"/>
      <u val="none"/>
      <sz val="16"/>
      <color rgb="FF000000"/>
      <name val="Calibri Light"/>
      <scheme val="major"/>
    </font>
    <font>
      <b val="0"/>
      <i val="0"/>
      <strike val="0"/>
      <u val="none"/>
      <sz val="11"/>
      <color rgb="FFFF0000"/>
      <name val="Calibri"/>
      <scheme val="minor"/>
    </font>
  </fonts>
  <fills count="10">
    <fill>
      <patternFill patternType="none"/>
    </fill>
    <fill>
      <patternFill patternType="gray125"/>
    </fill>
    <fill>
      <patternFill patternType="solid">
        <fgColor rgb="FFFFFFFF"/>
        <bgColor rgb="FFFFFFFF"/>
      </patternFill>
    </fill>
    <fill>
      <patternFill patternType="solid">
        <fgColor rgb="FF009999"/>
        <bgColor rgb="FFFFFFFF"/>
      </patternFill>
    </fill>
    <fill>
      <patternFill patternType="solid">
        <fgColor rgb="FFFBE5D6"/>
        <bgColor rgb="FFFFFFFF"/>
      </patternFill>
    </fill>
    <fill>
      <patternFill patternType="solid">
        <fgColor rgb="FFFF500B"/>
        <bgColor rgb="FFFFFFFF"/>
      </patternFill>
    </fill>
    <fill>
      <patternFill patternType="solid">
        <fgColor rgb="FFF8CBAD"/>
        <bgColor rgb="FFFFFFFF"/>
      </patternFill>
    </fill>
    <fill>
      <patternFill patternType="solid">
        <fgColor rgb="FFF8F9F9"/>
        <bgColor rgb="FF000000"/>
      </patternFill>
    </fill>
    <fill>
      <patternFill patternType="solid">
        <fgColor rgb="FF1F618D"/>
        <bgColor rgb="FF000000"/>
      </patternFill>
    </fill>
    <fill>
      <patternFill patternType="solid">
        <fgColor rgb="FFFFFF33"/>
        <bgColor rgb="FF000000"/>
      </patternFill>
    </fill>
  </fills>
  <borders count="13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 style="thin">
        <color rgb="FF000000"/>
      </right>
      <top style="thin">
        <color rgb="FF000000"/>
      </top>
      <bottom/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99">
    <xf xfId="0" fontId="0" numFmtId="0" fillId="0" borderId="0" applyFont="0" applyNumberFormat="0" applyFill="0" applyBorder="0" applyAlignment="0"/>
    <xf xfId="0" fontId="0" numFmtId="0" fillId="2" borderId="0" applyFont="0" applyNumberFormat="0" applyFill="1" applyBorder="0" applyAlignment="0"/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0" numFmtId="0" fillId="2" borderId="1" applyFont="0" applyNumberFormat="0" applyFill="1" applyBorder="1" applyAlignment="0"/>
    <xf xfId="0" fontId="0" numFmtId="0" fillId="2" borderId="1" applyFont="0" applyNumberFormat="0" applyFill="1" applyBorder="1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0"/>
    <xf xfId="0" fontId="2" numFmtId="0" fillId="2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center" vertical="bottom" textRotation="0" wrapText="false" shrinkToFit="false"/>
    </xf>
    <xf xfId="0" fontId="3" numFmtId="0" fillId="3" borderId="0" applyFont="1" applyNumberFormat="0" applyFill="1" applyBorder="0" applyAlignment="1">
      <alignment horizontal="center" vertical="bottom" textRotation="0" wrapText="false" shrinkToFit="false"/>
    </xf>
    <xf xfId="0" fontId="1" numFmtId="164" fillId="2" borderId="0" applyFont="1" applyNumberFormat="1" applyFill="1" applyBorder="0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1">
      <alignment horizontal="center" vertical="bottom" textRotation="0" wrapText="false" shrinkToFit="false"/>
    </xf>
    <xf xfId="0" fontId="4" numFmtId="0" fillId="2" borderId="0" applyFont="1" applyNumberFormat="0" applyFill="1" applyBorder="0" applyAlignment="0"/>
    <xf xfId="0" fontId="5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165" fillId="2" borderId="0" applyFont="1" applyNumberFormat="1" applyFill="1" applyBorder="0" applyAlignment="1">
      <alignment horizontal="center" vertical="bottom" textRotation="0" wrapText="false" shrinkToFit="false"/>
    </xf>
    <xf xfId="0" fontId="1" numFmtId="165" fillId="2" borderId="2" applyFont="1" applyNumberFormat="1" applyFill="1" applyBorder="1" applyAlignment="1">
      <alignment horizontal="center" vertical="bottom" textRotation="0" wrapText="false" shrinkToFit="false"/>
    </xf>
    <xf xfId="0" fontId="1" numFmtId="0" fillId="4" borderId="0" applyFont="1" applyNumberFormat="0" applyFill="1" applyBorder="0" applyAlignment="1">
      <alignment horizontal="center" vertical="bottom" textRotation="0" wrapText="false" shrinkToFit="false"/>
    </xf>
    <xf xfId="0" fontId="0" numFmtId="0" fillId="4" borderId="0" applyFont="0" applyNumberFormat="0" applyFill="1" applyBorder="0" applyAlignment="1">
      <alignment horizontal="center" vertical="center" textRotation="0" wrapText="false" shrinkToFit="false"/>
    </xf>
    <xf xfId="0" fontId="3" numFmtId="0" fillId="3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1" applyFont="1" applyNumberFormat="0" applyFill="1" applyBorder="1" applyAlignment="1">
      <alignment horizontal="center" vertical="bottom" textRotation="0" wrapText="false" shrinkToFit="false"/>
    </xf>
    <xf xfId="0" fontId="0" numFmtId="9" fillId="2" borderId="0" applyFont="0" applyNumberFormat="1" applyFill="1" applyBorder="0" applyAlignment="1">
      <alignment horizontal="center" vertical="bottom" textRotation="0" wrapText="false" shrinkToFit="false"/>
    </xf>
    <xf xfId="0" fontId="0" numFmtId="0" fillId="2" borderId="2" applyFont="0" applyNumberFormat="0" applyFill="1" applyBorder="1" applyAlignment="1">
      <alignment horizontal="center" vertical="bottom" textRotation="0" wrapText="false" shrinkToFit="false"/>
    </xf>
    <xf xfId="0" fontId="6" numFmtId="0" fillId="2" borderId="0" applyFont="1" applyNumberFormat="0" applyFill="1" applyBorder="0" applyAlignment="1">
      <alignment horizontal="center" vertical="bottom" textRotation="0" wrapText="false" shrinkToFit="false"/>
    </xf>
    <xf xfId="0" fontId="2" numFmtId="0" fillId="2" borderId="3" applyFont="1" applyNumberFormat="0" applyFill="1" applyBorder="1" applyAlignment="0"/>
    <xf xfId="0" fontId="2" numFmtId="0" fillId="2" borderId="4" applyFont="1" applyNumberFormat="0" applyFill="1" applyBorder="1" applyAlignment="0"/>
    <xf xfId="0" fontId="2" numFmtId="0" fillId="2" borderId="5" applyFont="1" applyNumberFormat="0" applyFill="1" applyBorder="1" applyAlignment="0"/>
    <xf xfId="0" fontId="2" numFmtId="0" fillId="0" borderId="0" applyFont="1" applyNumberFormat="0" applyFill="0" applyBorder="0" applyAlignment="0"/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0"/>
    <xf xfId="0" fontId="6" numFmtId="167" fillId="2" borderId="8" applyFont="1" applyNumberFormat="1" applyFill="1" applyBorder="1" applyAlignment="0"/>
    <xf xfId="0" fontId="5" numFmtId="0" fillId="2" borderId="4" applyFont="1" applyNumberFormat="0" applyFill="1" applyBorder="1" applyAlignment="0"/>
    <xf xfId="0" fontId="7" numFmtId="0" fillId="5" borderId="0" applyFont="1" applyNumberFormat="0" applyFill="1" applyBorder="0" applyAlignment="1">
      <alignment horizontal="center" vertical="bottom" textRotation="0" wrapText="false" shrinkToFit="false"/>
    </xf>
    <xf xfId="0" fontId="8" numFmtId="0" fillId="2" borderId="0" applyFont="1" applyNumberFormat="0" applyFill="1" applyBorder="0" applyAlignment="0"/>
    <xf xfId="0" fontId="6" numFmtId="167" fillId="2" borderId="0" applyFont="1" applyNumberFormat="1" applyFill="1" applyBorder="0" applyAlignment="0"/>
    <xf xfId="0" fontId="1" numFmtId="0" fillId="2" borderId="8" applyFont="1" applyNumberFormat="0" applyFill="1" applyBorder="1" applyAlignment="1">
      <alignment horizontal="center" vertical="bottom" textRotation="0" wrapText="false" shrinkToFit="false"/>
    </xf>
    <xf xfId="0" fontId="1" numFmtId="165" fillId="2" borderId="8" applyFont="1" applyNumberFormat="1" applyFill="1" applyBorder="1" applyAlignment="1">
      <alignment horizontal="center" vertical="bottom" textRotation="0" wrapText="false" shrinkToFit="false"/>
    </xf>
    <xf xfId="0" fontId="5" numFmtId="168" fillId="2" borderId="0" applyFont="1" applyNumberFormat="1" applyFill="1" applyBorder="0" applyAlignment="1">
      <alignment horizontal="right" vertical="bottom" textRotation="0" wrapText="false" shrinkToFit="false"/>
    </xf>
    <xf xfId="0" fontId="6" numFmtId="168" fillId="2" borderId="0" applyFont="1" applyNumberFormat="1" applyFill="1" applyBorder="0" applyAlignment="1">
      <alignment horizontal="left" vertical="bottom" textRotation="0" wrapText="false" shrinkToFit="false"/>
    </xf>
    <xf xfId="0" fontId="1" numFmtId="168" fillId="2" borderId="0" applyFont="1" applyNumberFormat="1" applyFill="1" applyBorder="0" applyAlignment="0"/>
    <xf xfId="0" fontId="0" numFmtId="168" fillId="2" borderId="0" applyFont="0" applyNumberFormat="1" applyFill="1" applyBorder="0" applyAlignment="0"/>
    <xf xfId="0" fontId="1" numFmtId="0" fillId="2" borderId="0" applyFont="1" applyNumberFormat="0" applyFill="1" applyBorder="0" applyAlignment="1">
      <alignment vertical="center" textRotation="0" wrapText="false" shrinkToFit="false"/>
    </xf>
    <xf xfId="0" fontId="0" numFmtId="0" fillId="2" borderId="4" applyFont="0" applyNumberFormat="0" applyFill="1" applyBorder="1" applyAlignment="0"/>
    <xf xfId="0" fontId="3" numFmtId="0" fillId="2" borderId="9" applyFont="1" applyNumberFormat="0" applyFill="1" applyBorder="1" applyAlignment="0"/>
    <xf xfId="0" fontId="7" numFmtId="0" fillId="2" borderId="9" applyFont="1" applyNumberFormat="0" applyFill="1" applyBorder="1" applyAlignment="1">
      <alignment vertical="center" textRotation="0" wrapText="false" shrinkToFit="false"/>
    </xf>
    <xf xfId="0" fontId="9" numFmtId="0" fillId="2" borderId="0" applyFont="1" applyNumberFormat="0" applyFill="1" applyBorder="0" applyAlignment="0"/>
    <xf xfId="0" fontId="10" numFmtId="0" fillId="2" borderId="0" applyFont="1" applyNumberFormat="0" applyFill="1" applyBorder="0" applyAlignment="1">
      <alignment horizontal="center" vertical="bottom" textRotation="0" wrapText="false" shrinkToFit="false"/>
    </xf>
    <xf xfId="0" fontId="0" numFmtId="0" fillId="2" borderId="0" applyFont="0" applyNumberFormat="0" applyFill="1" applyBorder="0" applyAlignment="1">
      <alignment horizontal="center" vertical="bottom" textRotation="0" wrapText="false" shrinkToFit="false"/>
    </xf>
    <xf xfId="0" fontId="1" numFmtId="169" fillId="6" borderId="0" applyFont="1" applyNumberFormat="1" applyFill="1" applyBorder="0" applyAlignment="1">
      <alignment horizontal="center" vertical="bottom" textRotation="0" wrapText="false" shrinkToFit="false"/>
    </xf>
    <xf xfId="0" fontId="2" numFmtId="0" fillId="0" borderId="2" applyFont="1" applyNumberFormat="0" applyFill="0" applyBorder="1" applyAlignment="1">
      <alignment horizontal="center" vertical="bottom" textRotation="0" wrapText="false" shrinkToFit="false"/>
    </xf>
    <xf xfId="0" fontId="1" numFmtId="14" fillId="2" borderId="0" applyFont="1" applyNumberFormat="1" applyFill="1" applyBorder="0" applyAlignment="1">
      <alignment horizontal="left" vertical="bottom" textRotation="0" wrapText="false" shrinkToFit="false"/>
    </xf>
    <xf xfId="0" fontId="1" numFmtId="14" fillId="2" borderId="9" applyFont="1" applyNumberFormat="1" applyFill="1" applyBorder="1" applyAlignment="1">
      <alignment horizontal="left" vertical="bottom" textRotation="0" wrapText="false" shrinkToFit="false"/>
    </xf>
    <xf xfId="0" fontId="0" numFmtId="0" fillId="2" borderId="0" applyFont="0" applyNumberFormat="0" applyFill="1" applyBorder="0" applyAlignment="0"/>
    <xf xfId="0" fontId="0" numFmtId="0" fillId="2" borderId="9" applyFont="0" applyNumberFormat="0" applyFill="1" applyBorder="1" applyAlignment="0"/>
    <xf xfId="0" fontId="1" numFmtId="0" fillId="2" borderId="8" applyFont="1" applyNumberFormat="0" applyFill="1" applyBorder="1" applyAlignment="0"/>
    <xf xfId="0" fontId="1" numFmtId="0" fillId="2" borderId="10" applyFont="1" applyNumberFormat="0" applyFill="1" applyBorder="1" applyAlignment="0"/>
    <xf xfId="0" fontId="7" numFmtId="168" fillId="3" borderId="1" applyFont="1" applyNumberFormat="1" applyFill="1" applyBorder="1" applyAlignment="1">
      <alignment horizontal="center" vertical="bottom" textRotation="0" wrapText="false" shrinkToFit="false"/>
    </xf>
    <xf xfId="0" fontId="1" numFmtId="0" fillId="2" borderId="2" applyFont="1" applyNumberFormat="0" applyFill="1" applyBorder="1" applyAlignment="0"/>
    <xf xfId="0" fontId="1" numFmtId="0" fillId="2" borderId="0" applyFont="1" applyNumberFormat="0" applyFill="1" applyBorder="0" applyAlignment="0"/>
    <xf xfId="0" fontId="2" numFmtId="0" fillId="2" borderId="2" applyFont="1" applyNumberFormat="0" applyFill="1" applyBorder="1" applyAlignment="0"/>
    <xf xfId="0" fontId="2" numFmtId="0" fillId="2" borderId="8" applyFont="1" applyNumberFormat="0" applyFill="1" applyBorder="1" applyAlignment="0"/>
    <xf xfId="0" fontId="11" numFmtId="0" fillId="5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center" vertical="bottom" textRotation="0" wrapText="false" shrinkToFit="false"/>
    </xf>
    <xf xfId="0" fontId="10" numFmtId="0" fillId="2" borderId="0" applyFont="1" applyNumberFormat="0" applyFill="1" applyBorder="0" applyAlignment="1">
      <alignment horizontal="left" vertical="bottom" textRotation="0" wrapText="false" shrinkToFit="false"/>
    </xf>
    <xf xfId="0" fontId="12" numFmtId="0" fillId="0" borderId="0" applyFont="1" applyNumberFormat="0" applyFill="0" applyBorder="0" applyAlignment="1">
      <alignment horizontal="left" vertical="bottom" textRotation="0" wrapText="false" shrinkToFit="false"/>
    </xf>
    <xf xfId="0" fontId="0" numFmtId="0" fillId="2" borderId="7" applyFont="0" applyNumberFormat="0" applyFill="1" applyBorder="1" applyAlignment="1">
      <alignment horizontal="center" vertical="bottom" textRotation="0" wrapText="false" shrinkToFit="false"/>
    </xf>
    <xf xfId="0" fontId="0" numFmtId="0" fillId="2" borderId="6" applyFont="0" applyNumberFormat="0" applyFill="1" applyBorder="1" applyAlignment="1">
      <alignment horizontal="center" vertical="bottom" textRotation="0" wrapText="false" shrinkToFit="false"/>
    </xf>
    <xf xfId="0" fontId="0" numFmtId="0" fillId="2" borderId="11" applyFont="0" applyNumberFormat="0" applyFill="1" applyBorder="1" applyAlignment="1">
      <alignment horizontal="center" vertical="bottom" textRotation="0" wrapText="false" shrinkToFit="false"/>
    </xf>
    <xf xfId="0" fontId="0" numFmtId="166" fillId="2" borderId="7" applyFont="0" applyNumberFormat="1" applyFill="1" applyBorder="1" applyAlignment="1">
      <alignment horizontal="center" vertical="bottom" textRotation="0" wrapText="false" shrinkToFit="false"/>
    </xf>
    <xf xfId="0" fontId="0" numFmtId="166" fillId="2" borderId="11" applyFont="0" applyNumberFormat="1" applyFill="1" applyBorder="1" applyAlignment="1">
      <alignment horizontal="center" vertical="bottom" textRotation="0" wrapText="false" shrinkToFit="false"/>
    </xf>
    <xf xfId="0" fontId="13" numFmtId="0" fillId="3" borderId="7" applyFont="1" applyNumberFormat="0" applyFill="1" applyBorder="1" applyAlignment="1">
      <alignment horizontal="center" vertical="bottom" textRotation="0" wrapText="false" shrinkToFit="false"/>
    </xf>
    <xf xfId="0" fontId="13" numFmtId="0" fillId="3" borderId="6" applyFont="1" applyNumberFormat="0" applyFill="1" applyBorder="1" applyAlignment="1">
      <alignment horizontal="center" vertical="bottom" textRotation="0" wrapText="false" shrinkToFit="false"/>
    </xf>
    <xf xfId="0" fontId="13" numFmtId="0" fillId="3" borderId="11" applyFont="1" applyNumberFormat="0" applyFill="1" applyBorder="1" applyAlignment="1">
      <alignment horizontal="center" vertical="bottom" textRotation="0" wrapText="false" shrinkToFit="false"/>
    </xf>
    <xf xfId="0" fontId="1" numFmtId="0" fillId="6" borderId="0" applyFont="1" applyNumberFormat="0" applyFill="1" applyBorder="0" applyAlignment="1">
      <alignment horizontal="center" vertical="bottom" textRotation="0" wrapText="false" shrinkToFit="false"/>
    </xf>
    <xf xfId="0" fontId="1" numFmtId="170" fillId="6" borderId="0" applyFont="1" applyNumberFormat="1" applyFill="1" applyBorder="0" applyAlignment="1">
      <alignment horizontal="center" vertical="bottom" textRotation="0" wrapText="false" shrinkToFit="false"/>
    </xf>
    <xf xfId="0" fontId="14" numFmtId="0" fillId="2" borderId="0" applyFont="1" applyNumberFormat="0" applyFill="1" applyBorder="0" applyAlignment="0"/>
    <xf xfId="0" fontId="1" numFmtId="0" fillId="2" borderId="12" applyFont="1" applyNumberFormat="0" applyFill="1" applyBorder="1" applyAlignment="0"/>
    <xf xfId="0" fontId="15" numFmtId="0" fillId="3" borderId="0" applyFont="1" applyNumberFormat="0" applyFill="1" applyBorder="0" applyAlignment="0"/>
    <xf xfId="0" fontId="1" numFmtId="0" fillId="2" borderId="0" applyFont="1" applyNumberFormat="0" applyFill="1" applyBorder="0" applyAlignment="1">
      <alignment horizontal="left" vertical="bottom" textRotation="0" wrapText="false" shrinkToFit="false"/>
    </xf>
    <xf xfId="0" fontId="1" numFmtId="0" fillId="2" borderId="2" applyFont="1" applyNumberFormat="0" applyFill="1" applyBorder="1" applyAlignment="1">
      <alignment horizontal="left" vertical="bottom" textRotation="0" wrapText="false" shrinkToFit="false"/>
    </xf>
    <xf xfId="0" fontId="15" numFmtId="0" fillId="3" borderId="0" applyFont="1" applyNumberFormat="0" applyFill="1" applyBorder="0" applyAlignment="1">
      <alignment horizontal="left" vertical="bottom" textRotation="0" wrapText="false" shrinkToFit="false"/>
    </xf>
    <xf xfId="0" fontId="16" numFmtId="0" fillId="2" borderId="0" applyFont="1" applyNumberFormat="0" applyFill="1" applyBorder="0" applyAlignment="1">
      <alignment horizontal="center" vertical="bottom" textRotation="0" wrapText="false" shrinkToFit="false"/>
    </xf>
    <xf xfId="0" fontId="1" numFmtId="0" fillId="2" borderId="0" applyFont="1" applyNumberFormat="0" applyFill="1" applyBorder="0" applyAlignment="1">
      <alignment horizontal="left" vertical="center" textRotation="0" wrapText="false" shrinkToFit="false"/>
    </xf>
    <xf xfId="0" fontId="1" numFmtId="0" fillId="2" borderId="0" applyFont="1" applyNumberFormat="0" applyFill="1" applyBorder="0" applyAlignment="1">
      <alignment vertical="center" textRotation="0" wrapText="false" shrinkToFit="false"/>
    </xf>
    <xf xfId="0" fontId="7" numFmtId="168" fillId="3" borderId="7" applyFont="1" applyNumberFormat="1" applyFill="1" applyBorder="1" applyAlignment="1">
      <alignment horizontal="center" vertical="bottom" textRotation="0" wrapText="false" shrinkToFit="false"/>
    </xf>
    <xf xfId="0" fontId="7" numFmtId="168" fillId="3" borderId="11" applyFont="1" applyNumberFormat="1" applyFill="1" applyBorder="1" applyAlignment="1">
      <alignment horizontal="center" vertical="bottom" textRotation="0" wrapText="false" shrinkToFit="false"/>
    </xf>
    <xf xfId="0" fontId="1" numFmtId="171" fillId="6" borderId="0" applyFont="1" applyNumberFormat="1" applyFill="1" applyBorder="0" applyAlignment="1">
      <alignment horizontal="center" vertical="bottom" textRotation="0" wrapText="false" shrinkToFit="false"/>
    </xf>
    <xf xfId="0" fontId="0" numFmtId="0" fillId="7" borderId="0" applyFont="0" applyNumberFormat="0" applyFill="1" applyBorder="0" applyAlignment="1">
      <alignment horizontal="center" vertical="bottom" textRotation="0" wrapText="false" shrinkToFit="false"/>
    </xf>
    <xf xfId="0" fontId="7" numFmtId="0" fillId="8" borderId="0" applyFont="1" applyNumberFormat="0" applyFill="1" applyBorder="0" applyAlignment="0"/>
    <xf xfId="0" fontId="7" numFmtId="0" fillId="8" borderId="0" applyFont="1" applyNumberFormat="0" applyFill="1" applyBorder="0" applyAlignment="1">
      <alignment horizontal="center" vertical="bottom" textRotation="0" wrapText="false" shrinkToFit="false"/>
    </xf>
    <xf xfId="0" fontId="0" numFmtId="0" fillId="9" borderId="0" applyFont="0" applyNumberFormat="0" applyFill="1" applyBorder="0" applyAlignment="0"/>
    <xf xfId="0" fontId="0" numFmtId="172" fillId="0" borderId="0" applyFont="0" applyNumberFormat="1" applyFill="0" applyBorder="0" applyAlignment="0"/>
    <xf xfId="0" fontId="0" numFmtId="0" fillId="0" borderId="0" applyFont="0" applyNumberFormat="0" applyFill="0" applyBorder="0" applyAlignment="1">
      <alignment horizontal="center" vertical="center" textRotation="0" wrapText="true" shrinkToFit="true"/>
    </xf>
    <xf xfId="0" fontId="0" numFmtId="173" fillId="0" borderId="0" applyFont="0" applyNumberFormat="1" applyFill="0" applyBorder="0" applyAlignment="1">
      <alignment horizontal="right" vertical="bottom" textRotation="0" wrapText="false" shrinkToFit="false"/>
    </xf>
    <xf xfId="0" fontId="5" numFmtId="0" fillId="0" borderId="0" applyFont="1" applyNumberFormat="0" applyFill="0" applyBorder="0" applyAlignment="0"/>
    <xf xfId="0" fontId="0" numFmtId="10" fillId="0" borderId="0" applyFont="0" applyNumberFormat="1" applyFill="0" applyBorder="0" applyAlignment="0"/>
    <xf xfId="0" fontId="17" numFmtId="10" fillId="0" borderId="0" applyFont="1" applyNumberFormat="1" applyFill="0" applyBorder="0" applyAlignment="0"/>
    <xf xfId="0" fontId="0" numFmtId="174" fillId="0" borderId="0" applyFont="0" applyNumberFormat="1" applyFill="0" applyBorder="0" applyAlignment="0"/>
    <xf xfId="0" fontId="1" numFmtId="0" fillId="4" borderId="0" applyFont="1" applyNumberFormat="0" applyFill="1" applyBorder="0" applyAlignment="1">
      <alignment horizontal="center" vertical="center" textRotation="0" wrapText="false" shrinkToFit="false"/>
    </xf>
    <xf xfId="0" fontId="1" numFmtId="1" fillId="6" borderId="0" applyFont="1" applyNumberFormat="1" applyFill="1" applyBorder="0" applyAlignment="1">
      <alignment horizontal="center" vertical="bottom" textRotation="0" wrapText="false" shrinkToFit="false"/>
    </xf>
    <xf xfId="0" fontId="1" numFmtId="4" fillId="6" borderId="0" applyFont="1" applyNumberFormat="1" applyFill="1" applyBorder="0" applyAlignment="1">
      <alignment horizontal="center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6b0aa71d78e0d99468fc6e4110ae8b75.png"/><Relationship Id="rId2" Type="http://schemas.openxmlformats.org/officeDocument/2006/relationships/image" Target="../media/6b0aa71d78e0d99468fc6e4110ae8b75.png"/><Relationship Id="rId3" Type="http://schemas.openxmlformats.org/officeDocument/2006/relationships/image" Target="../media/bed8d93f1bf1af9ebaf52df6e3727469.jpeg"/></Relationships>
</file>

<file path=xl/drawings/drawing1.xml><?xml version="1.0" encoding="utf-8"?>
<xdr:wsDr xmlns:xdr="http://schemas.openxmlformats.org/drawingml/2006/spreadsheetDrawing" xmlns:a="http://schemas.openxmlformats.org/drawingml/2006/main">
  <xdr:oneCellAnchor>
    <xdr:from>
      <xdr:col>1</xdr:col>
      <xdr:colOff>400050</xdr:colOff>
      <xdr:row>1</xdr:row>
      <xdr:rowOff>66675</xdr:rowOff>
    </xdr:from>
    <xdr:ext cx="1209675" cy="1190625"/>
    <xdr:pic>
      <xdr:nvPicPr>
        <xdr:cNvPr id="1" name="Imagen 23" descr=""/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oneCellAnchor>
    <xdr:from>
      <xdr:col>1</xdr:col>
      <xdr:colOff>514350</xdr:colOff>
      <xdr:row>48</xdr:row>
      <xdr:rowOff>9525</xdr:rowOff>
    </xdr:from>
    <xdr:ext cx="1209675" cy="1190625"/>
    <xdr:pic>
      <xdr:nvPicPr>
        <xdr:cNvPr id="2" name="Imagen 23" descr=""/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 rot="0"/>
        <a:prstGeom prst="rect">
          <a:avLst/>
        </a:prstGeom>
      </xdr:spPr>
    </xdr:pic>
    <xdr:clientData/>
  </xdr:oneCellAnchor>
  <xdr:twoCellAnchor editAs="oneCell">
    <xdr:from>
      <xdr:col>2</xdr:col>
      <xdr:colOff>695325</xdr:colOff>
      <xdr:row>84</xdr:row>
      <xdr:rowOff>104775</xdr:rowOff>
    </xdr:from>
    <xdr:to>
      <xdr:col>8</xdr:col>
      <xdr:colOff>504825</xdr:colOff>
      <xdr:row>102</xdr:row>
      <xdr:rowOff>171450</xdr:rowOff>
    </xdr:to>
    <xdr:pic>
      <xdr:nvPicPr>
        <xdr:cNvPr id="3" name="Imagen 5" descr=""/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0">
          <a:ext cx="4057650" cy="34290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2" Type="http://schemas.openxmlformats.org/officeDocument/2006/relationships/drawing" Target="../drawings/drawing1.xml"/><Relationship Id="rId1ps" Type="http://schemas.openxmlformats.org/officeDocument/2006/relationships/printerSettings" Target="../printerSettings/printerSettings1.bin"/></Relationships>
</file>

<file path=xl/worksheets/_rels/sheet2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N100"/>
  <sheetViews>
    <sheetView tabSelected="0" workbookViewId="0" zoomScale="85" zoomScaleNormal="85" showGridLines="false" showRowColHeaders="1" topLeftCell="A40">
      <selection activeCell="J11" sqref="J11"/>
    </sheetView>
  </sheetViews>
  <sheetFormatPr defaultRowHeight="14.4" defaultColWidth="10.77734375" outlineLevelRow="0" outlineLevelCol="0"/>
  <cols>
    <col min="1" max="1" width="7.109375" customWidth="true" style="1"/>
    <col min="2" max="2" width="11.77734375" customWidth="true" style="1"/>
    <col min="3" max="3" width="21.44140625" customWidth="true" style="1"/>
    <col min="4" max="4" width="0.88671875" customWidth="true" style="1"/>
    <col min="5" max="5" width="12.109375" customWidth="true" style="1"/>
    <col min="6" max="6" width="10.77734375" style="1"/>
    <col min="7" max="7" width="15.88671875" customWidth="true" style="1"/>
    <col min="8" max="8" width="0.88671875" customWidth="true" style="1"/>
    <col min="9" max="9" width="9.77734375" customWidth="true" style="1"/>
    <col min="10" max="10" width="10.6640625" customWidth="true" style="1"/>
    <col min="11" max="11" width="10.77734375" style="1"/>
    <col min="12" max="12" width="8.77734375" customWidth="true" style="1"/>
    <col min="13" max="13" width="10.77734375" style="1"/>
  </cols>
  <sheetData>
    <row r="1" spans="1:14" customHeight="1" ht="18">
      <c r="A1" s="50"/>
      <c r="B1" s="50"/>
      <c r="C1" s="50"/>
      <c r="D1" s="50"/>
      <c r="E1" s="50"/>
      <c r="F1" s="50"/>
      <c r="G1" s="50"/>
      <c r="H1" s="50"/>
      <c r="I1" s="50"/>
      <c r="J1" s="50"/>
      <c r="K1" s="50"/>
      <c r="L1" s="50"/>
    </row>
    <row r="2" spans="1:14" customHeight="1" ht="18">
      <c r="B2" s="45"/>
      <c r="C2" s="45"/>
      <c r="E2" s="50"/>
      <c r="F2" s="50"/>
      <c r="G2" s="50"/>
      <c r="H2" s="50"/>
      <c r="I2" s="50"/>
      <c r="J2" s="50"/>
      <c r="K2" s="50"/>
      <c r="L2" s="50"/>
    </row>
    <row r="3" spans="1:14" customHeight="1" ht="25.8">
      <c r="B3" s="45"/>
      <c r="C3" s="45"/>
      <c r="E3" s="61" t="s">
        <v>0</v>
      </c>
      <c r="F3" s="61"/>
      <c r="G3" s="61"/>
      <c r="H3" s="61"/>
      <c r="I3" s="61"/>
      <c r="J3" s="61"/>
    </row>
    <row r="4" spans="1:14" customHeight="1" ht="25.8">
      <c r="B4" s="45"/>
      <c r="C4" s="45"/>
      <c r="E4" s="62" t="s">
        <v>1</v>
      </c>
      <c r="F4" s="62"/>
      <c r="G4" s="62"/>
      <c r="H4" s="62"/>
      <c r="I4" s="62"/>
      <c r="J4" s="62"/>
      <c r="K4" s="11"/>
    </row>
    <row r="5" spans="1:14">
      <c r="B5" s="45"/>
      <c r="C5" s="45"/>
      <c r="D5" s="43"/>
    </row>
    <row r="6" spans="1:14">
      <c r="B6" s="45"/>
      <c r="C6" s="45"/>
      <c r="D6" s="25"/>
      <c r="F6" s="25"/>
      <c r="G6" s="25"/>
      <c r="H6" s="25"/>
    </row>
    <row r="7" spans="1:14">
      <c r="A7" s="45"/>
      <c r="B7" s="45"/>
      <c r="C7" s="45"/>
      <c r="E7" s="47" t="s">
        <v>2</v>
      </c>
      <c r="F7" s="47"/>
      <c r="G7" s="47"/>
      <c r="I7" s="45"/>
      <c r="J7" s="45"/>
      <c r="K7" s="45"/>
      <c r="L7" s="45"/>
    </row>
    <row r="8" spans="1:14">
      <c r="B8" s="6" t="s">
        <v>3</v>
      </c>
      <c r="C8" s="96" t="s">
        <v>4</v>
      </c>
      <c r="D8" s="41"/>
      <c r="E8" s="22" t="s">
        <v>5</v>
      </c>
      <c r="F8" s="52" t="s">
        <v>6</v>
      </c>
      <c r="G8" s="53"/>
      <c r="H8" s="40"/>
      <c r="I8" s="1" t="s">
        <v>7</v>
      </c>
      <c r="J8" s="71">
        <f>+'2'!F7</f>
        <v>0</v>
      </c>
      <c r="K8" s="71"/>
      <c r="L8" s="71"/>
    </row>
    <row r="9" spans="1:14">
      <c r="B9" s="6" t="s">
        <v>8</v>
      </c>
      <c r="C9" s="15"/>
      <c r="D9" s="41"/>
      <c r="E9" s="23" t="s">
        <v>9</v>
      </c>
      <c r="F9" s="48">
        <f>+TODAY()</f>
        <v>45917</v>
      </c>
      <c r="G9" s="49"/>
      <c r="H9" s="40"/>
      <c r="I9" s="1" t="s">
        <v>10</v>
      </c>
      <c r="J9" s="97" t="s">
        <v>11</v>
      </c>
      <c r="K9" s="46"/>
      <c r="L9" s="46"/>
    </row>
    <row r="10" spans="1:14">
      <c r="B10" s="6" t="s">
        <v>12</v>
      </c>
      <c r="C10" s="15"/>
      <c r="D10" s="41"/>
      <c r="E10" s="29" t="s">
        <v>13</v>
      </c>
      <c r="F10" s="50" t="s">
        <v>14</v>
      </c>
      <c r="G10" s="51"/>
      <c r="H10" s="40"/>
      <c r="I10" s="1" t="s">
        <v>15</v>
      </c>
      <c r="J10" s="72">
        <v>0</v>
      </c>
      <c r="K10" s="72"/>
      <c r="L10" s="72"/>
    </row>
    <row r="11" spans="1:14">
      <c r="B11" s="6" t="s">
        <v>16</v>
      </c>
      <c r="C11" s="16" t="s">
        <v>17</v>
      </c>
      <c r="D11" s="42"/>
      <c r="E11" s="24" t="s">
        <v>18</v>
      </c>
      <c r="F11" s="55" t="s">
        <v>19</v>
      </c>
      <c r="G11" s="74"/>
      <c r="H11" s="40"/>
      <c r="I11" s="1" t="s">
        <v>20</v>
      </c>
      <c r="J11" s="98">
        <v>0.06</v>
      </c>
      <c r="K11" s="84"/>
      <c r="L11" s="84"/>
    </row>
    <row r="12" spans="1:14">
      <c r="B12" s="50"/>
      <c r="C12" s="50"/>
      <c r="D12" s="50"/>
      <c r="E12" s="50"/>
      <c r="F12" s="50"/>
      <c r="G12" s="50"/>
      <c r="H12" s="50"/>
      <c r="I12" s="50"/>
      <c r="J12" s="50"/>
      <c r="K12" s="50"/>
      <c r="L12" s="50"/>
    </row>
    <row r="13" spans="1:14">
      <c r="B13" s="75" t="s">
        <v>21</v>
      </c>
      <c r="C13" s="75"/>
      <c r="D13" s="75"/>
      <c r="E13" s="75"/>
      <c r="F13" s="75"/>
      <c r="G13" s="75"/>
      <c r="H13" s="75"/>
      <c r="I13" s="75"/>
      <c r="J13" s="75"/>
      <c r="K13" s="8" t="s">
        <v>22</v>
      </c>
      <c r="L13" s="8" t="s">
        <v>23</v>
      </c>
    </row>
    <row r="14" spans="1:14">
      <c r="B14" s="76" t="s">
        <v>24</v>
      </c>
      <c r="C14" s="76"/>
      <c r="D14" s="76"/>
      <c r="E14" s="76"/>
      <c r="F14" s="76"/>
      <c r="G14" s="76"/>
      <c r="H14" s="76"/>
      <c r="I14" s="76"/>
      <c r="J14" s="76"/>
      <c r="K14" s="13">
        <f>'2'!C11</f>
        <v>2300</v>
      </c>
      <c r="L14" s="7" t="s">
        <v>25</v>
      </c>
    </row>
    <row r="15" spans="1:14">
      <c r="B15" s="77" t="s">
        <v>26</v>
      </c>
      <c r="C15" s="77"/>
      <c r="D15" s="77"/>
      <c r="E15" s="77"/>
      <c r="F15" s="77"/>
      <c r="G15" s="77"/>
      <c r="H15" s="77"/>
      <c r="I15" s="77"/>
      <c r="J15" s="77"/>
      <c r="K15" s="14">
        <f>'2'!C14 + '2'!C17</f>
        <v>1440.0765229919</v>
      </c>
      <c r="L15" s="10" t="s">
        <v>25</v>
      </c>
    </row>
    <row r="16" spans="1:14">
      <c r="B16" s="58" t="s">
        <v>27</v>
      </c>
      <c r="C16" s="58"/>
      <c r="D16" s="58"/>
      <c r="E16" s="58"/>
      <c r="F16" s="58"/>
      <c r="G16" s="58"/>
      <c r="H16" s="58"/>
      <c r="I16" s="58"/>
      <c r="J16" s="58"/>
      <c r="K16" s="13">
        <f>SUM(K14:K15)</f>
        <v>3740.0765229919</v>
      </c>
      <c r="L16" s="7" t="s">
        <v>25</v>
      </c>
    </row>
    <row r="17" spans="1:14">
      <c r="B17" s="5"/>
      <c r="C17" s="5"/>
      <c r="D17" s="5"/>
      <c r="E17" s="5"/>
      <c r="F17" s="5"/>
      <c r="G17" s="5"/>
      <c r="H17" s="5"/>
      <c r="I17" s="5"/>
      <c r="J17" s="5"/>
      <c r="K17" s="5"/>
      <c r="L17" s="5"/>
    </row>
    <row r="18" spans="1:14">
      <c r="B18" s="5"/>
      <c r="C18" s="5"/>
      <c r="D18" s="5"/>
      <c r="E18" s="5"/>
      <c r="F18" s="5"/>
      <c r="G18" s="5"/>
      <c r="H18" s="5"/>
      <c r="I18" s="5"/>
      <c r="J18" s="5"/>
      <c r="K18" s="5"/>
      <c r="L18" s="5"/>
    </row>
    <row r="19" spans="1:14">
      <c r="B19" s="78" t="s">
        <v>28</v>
      </c>
      <c r="C19" s="78"/>
      <c r="D19" s="78"/>
      <c r="E19" s="78"/>
      <c r="F19" s="78"/>
      <c r="G19" s="17"/>
      <c r="H19" s="17"/>
      <c r="I19" s="17"/>
      <c r="J19" s="8" t="s">
        <v>29</v>
      </c>
      <c r="K19" s="8" t="s">
        <v>22</v>
      </c>
      <c r="L19" s="8" t="s">
        <v>23</v>
      </c>
    </row>
    <row r="20" spans="1:14">
      <c r="B20" s="56" t="s">
        <v>30</v>
      </c>
      <c r="C20" s="56"/>
      <c r="D20" s="56"/>
      <c r="E20" s="56"/>
      <c r="F20" s="56"/>
      <c r="G20" s="56"/>
      <c r="H20" s="56"/>
      <c r="I20" s="56"/>
      <c r="J20" s="19">
        <f>MAX('2'!C26:E26)</f>
        <v>0</v>
      </c>
      <c r="K20" s="13">
        <f>'2'!C28</f>
        <v>139.40357902185</v>
      </c>
      <c r="L20" s="7" t="s">
        <v>25</v>
      </c>
      <c r="N20" t="s">
        <v>85</v>
      </c>
    </row>
    <row r="21" spans="1:14">
      <c r="B21" s="56" t="s">
        <v>31</v>
      </c>
      <c r="C21" s="56"/>
      <c r="D21" s="56"/>
      <c r="E21" s="56"/>
      <c r="F21" s="56"/>
      <c r="G21" s="56"/>
      <c r="H21" s="56"/>
      <c r="I21" s="56"/>
      <c r="J21" s="19">
        <v>0.16</v>
      </c>
      <c r="K21" s="13">
        <f>'2'!C29</f>
        <v>17.425447377732</v>
      </c>
      <c r="L21" s="7" t="s">
        <v>25</v>
      </c>
    </row>
    <row r="22" spans="1:14">
      <c r="B22" s="55" t="s">
        <v>32</v>
      </c>
      <c r="C22" s="55"/>
      <c r="D22" s="55"/>
      <c r="E22" s="55"/>
      <c r="F22" s="55"/>
      <c r="G22" s="55"/>
      <c r="H22" s="55"/>
      <c r="I22" s="55"/>
      <c r="J22" s="19">
        <v>0.02</v>
      </c>
      <c r="K22" s="13">
        <f>'2'!C30</f>
        <v>35.983548835016</v>
      </c>
      <c r="L22" s="7" t="s">
        <v>25</v>
      </c>
    </row>
    <row r="23" spans="1:14">
      <c r="B23" s="58" t="s">
        <v>33</v>
      </c>
      <c r="C23" s="58"/>
      <c r="D23" s="58"/>
      <c r="E23" s="58"/>
      <c r="F23" s="58"/>
      <c r="G23" s="58"/>
      <c r="H23" s="58"/>
      <c r="I23" s="58"/>
      <c r="J23" s="33"/>
      <c r="K23" s="34">
        <f>SUM(K20:K22)</f>
        <v>192.8125752346</v>
      </c>
      <c r="L23" s="33" t="s">
        <v>25</v>
      </c>
    </row>
    <row r="24" spans="1:14">
      <c r="B24" s="56"/>
      <c r="C24" s="56"/>
      <c r="D24" s="56"/>
      <c r="E24" s="56"/>
      <c r="F24" s="56"/>
      <c r="G24" s="56"/>
      <c r="H24" s="56"/>
      <c r="I24" s="56"/>
      <c r="J24" s="2"/>
      <c r="K24" s="9"/>
      <c r="L24" s="7"/>
    </row>
    <row r="25" spans="1:14">
      <c r="B25" s="55" t="s">
        <v>34</v>
      </c>
      <c r="C25" s="55"/>
      <c r="D25" s="55"/>
      <c r="E25" s="55"/>
      <c r="F25" s="55"/>
      <c r="G25" s="55"/>
      <c r="H25" s="55"/>
      <c r="I25" s="55"/>
      <c r="J25" s="20" t="s">
        <v>35</v>
      </c>
      <c r="K25" s="14">
        <f>'2'!C31</f>
        <v>226.32305096101</v>
      </c>
      <c r="L25" s="10" t="s">
        <v>25</v>
      </c>
    </row>
    <row r="26" spans="1:14">
      <c r="B26" s="58" t="s">
        <v>36</v>
      </c>
      <c r="C26" s="58"/>
      <c r="D26" s="58"/>
      <c r="E26" s="58"/>
      <c r="F26" s="58"/>
      <c r="G26" s="58"/>
      <c r="H26" s="58"/>
      <c r="I26" s="58"/>
      <c r="K26" s="13">
        <f>K23+K25</f>
        <v>419.13562619561</v>
      </c>
      <c r="L26" s="7" t="s">
        <v>25</v>
      </c>
    </row>
    <row r="27" spans="1:14">
      <c r="B27" s="50"/>
      <c r="C27" s="50"/>
      <c r="D27" s="50"/>
      <c r="E27" s="50"/>
      <c r="F27" s="50"/>
      <c r="G27" s="50"/>
      <c r="H27" s="50"/>
      <c r="I27" s="50"/>
    </row>
    <row r="28" spans="1:14" customHeight="1" ht="15.6">
      <c r="B28" s="59" t="s">
        <v>37</v>
      </c>
      <c r="C28" s="59"/>
      <c r="D28" s="59"/>
      <c r="E28" s="59"/>
      <c r="F28" s="59"/>
      <c r="G28" s="59"/>
      <c r="H28" s="59"/>
      <c r="I28" s="59"/>
      <c r="J28" s="59"/>
      <c r="K28" s="30" t="s">
        <v>22</v>
      </c>
      <c r="L28" s="30" t="s">
        <v>23</v>
      </c>
    </row>
    <row r="29" spans="1:14">
      <c r="B29" s="56" t="s">
        <v>38</v>
      </c>
      <c r="C29" s="56"/>
      <c r="D29" s="56"/>
      <c r="E29" s="56"/>
      <c r="F29" s="56"/>
      <c r="G29" s="56"/>
      <c r="H29" s="56"/>
      <c r="I29" s="56"/>
      <c r="J29" s="56"/>
      <c r="K29" s="13">
        <f>K14</f>
        <v>2300</v>
      </c>
      <c r="L29" s="7" t="s">
        <v>25</v>
      </c>
    </row>
    <row r="30" spans="1:14">
      <c r="B30" s="56" t="s">
        <v>39</v>
      </c>
      <c r="C30" s="56"/>
      <c r="D30" s="56"/>
      <c r="E30" s="56"/>
      <c r="F30" s="56"/>
      <c r="G30" s="56"/>
      <c r="H30" s="56"/>
      <c r="I30" s="56"/>
      <c r="J30" s="56"/>
      <c r="K30" s="13">
        <f>IF(J11&lt;1, '2'!C14, '2'!C14*J11)</f>
        <v>636</v>
      </c>
      <c r="L30" s="7" t="s">
        <v>25</v>
      </c>
    </row>
    <row r="31" spans="1:14">
      <c r="B31" s="55" t="s">
        <v>40</v>
      </c>
      <c r="C31" s="55"/>
      <c r="D31" s="55"/>
      <c r="E31" s="55"/>
      <c r="F31" s="55"/>
      <c r="G31" s="55"/>
      <c r="H31" s="55"/>
      <c r="I31" s="55"/>
      <c r="J31" s="55"/>
      <c r="K31" s="14">
        <f>K26</f>
        <v>419.13562619561</v>
      </c>
      <c r="L31" s="10" t="s">
        <v>25</v>
      </c>
    </row>
    <row r="32" spans="1:14">
      <c r="B32" s="58" t="s">
        <v>41</v>
      </c>
      <c r="C32" s="58"/>
      <c r="D32" s="58"/>
      <c r="E32" s="58"/>
      <c r="F32" s="58"/>
      <c r="G32" s="58"/>
      <c r="H32" s="58"/>
      <c r="I32" s="58"/>
      <c r="J32" s="58"/>
      <c r="K32" s="13">
        <f>SUM(K29:K31)</f>
        <v>3355.1356261956</v>
      </c>
      <c r="L32" s="7" t="s">
        <v>25</v>
      </c>
    </row>
    <row r="33" spans="1:14"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</row>
    <row r="34" spans="1:14">
      <c r="B34" s="68" t="s">
        <v>42</v>
      </c>
      <c r="C34" s="69"/>
      <c r="D34" s="69"/>
      <c r="E34" s="69"/>
      <c r="F34" s="69"/>
      <c r="G34" s="69"/>
      <c r="H34" s="69"/>
      <c r="I34" s="69"/>
      <c r="J34" s="69"/>
      <c r="K34" s="69"/>
      <c r="L34" s="70"/>
    </row>
    <row r="35" spans="1:14">
      <c r="B35" s="18" t="s">
        <v>43</v>
      </c>
      <c r="C35" s="63" t="s">
        <v>44</v>
      </c>
      <c r="D35" s="64"/>
      <c r="E35" s="65"/>
      <c r="F35" s="4" t="s">
        <v>45</v>
      </c>
      <c r="G35" s="63" t="s">
        <v>46</v>
      </c>
      <c r="H35" s="65"/>
      <c r="I35" s="3" t="s">
        <v>47</v>
      </c>
      <c r="J35" s="26" t="s">
        <v>36</v>
      </c>
      <c r="K35" s="54" t="s">
        <v>48</v>
      </c>
      <c r="L35" s="54"/>
    </row>
    <row r="36" spans="1:14">
      <c r="B36" s="18">
        <v>1</v>
      </c>
      <c r="C36" s="63">
        <f>+'2'!$C$6</f>
        <v>0</v>
      </c>
      <c r="D36" s="64"/>
      <c r="E36" s="65"/>
      <c r="F36" s="4">
        <f>+'2'!$C$45</f>
        <v>250</v>
      </c>
      <c r="G36" s="66">
        <f>+'2'!$C$10</f>
        <v>250</v>
      </c>
      <c r="H36" s="67"/>
      <c r="I36" s="27">
        <f>+'2'!$C$46</f>
        <v>266.2552373344</v>
      </c>
      <c r="J36" s="27">
        <f>+F36*I36</f>
        <v>66563.809333599</v>
      </c>
      <c r="K36" s="54">
        <f>I36*3.7</f>
        <v>985.14437813726</v>
      </c>
      <c r="L36" s="54"/>
    </row>
    <row r="37" spans="1:14">
      <c r="B37" s="18">
        <v>2</v>
      </c>
      <c r="C37" s="63">
        <f>+'2'!$D$6</f>
        <v>22.3</v>
      </c>
      <c r="D37" s="64"/>
      <c r="E37" s="65"/>
      <c r="F37" s="4">
        <f>+'2'!$D$45</f>
        <v/>
      </c>
      <c r="G37" s="66">
        <f>+'2'!$D$10</f>
        <v>250</v>
      </c>
      <c r="H37" s="67"/>
      <c r="I37" s="27">
        <f>+'2'!$D$46</f>
        <v/>
      </c>
      <c r="J37" s="27">
        <f>+F37*I37</f>
        <v>0</v>
      </c>
      <c r="K37" s="54">
        <f>I37*3.7</f>
        <v>0</v>
      </c>
      <c r="L37" s="54"/>
    </row>
    <row r="38" spans="1:14">
      <c r="B38" s="18">
        <v>3</v>
      </c>
      <c r="C38" s="63">
        <f>+'2'!$E$6</f>
        <v>0</v>
      </c>
      <c r="D38" s="64"/>
      <c r="E38" s="65"/>
      <c r="F38" s="4">
        <f>+'2'!$E$45</f>
        <v>0</v>
      </c>
      <c r="G38" s="66">
        <f>+'2'!$E$10</f>
        <v>0</v>
      </c>
      <c r="H38" s="67"/>
      <c r="I38" s="27">
        <f>+'2'!$E$46</f>
        <v>0</v>
      </c>
      <c r="J38" s="27">
        <f>+F38*I38</f>
        <v>0</v>
      </c>
      <c r="K38" s="82">
        <f>I38*3.7</f>
        <v>0</v>
      </c>
      <c r="L38" s="83"/>
    </row>
    <row r="39" spans="1:14" customHeight="1" ht="15.6">
      <c r="B39" s="21" t="s">
        <v>36</v>
      </c>
      <c r="C39" s="2"/>
      <c r="D39" s="2"/>
      <c r="E39" s="2"/>
      <c r="F39" s="12">
        <f>+SUM(F36:F38)</f>
        <v>250</v>
      </c>
      <c r="G39" s="2"/>
      <c r="H39" s="2"/>
      <c r="J39" s="28">
        <f>+SUM(J36:J38)</f>
        <v>66563.809333599</v>
      </c>
      <c r="K39" s="35"/>
      <c r="L39" s="36"/>
    </row>
    <row r="40" spans="1:14" customHeight="1" ht="15.6">
      <c r="B40" s="21"/>
      <c r="C40" s="2"/>
      <c r="D40" s="2"/>
      <c r="E40" s="2"/>
      <c r="F40" s="12"/>
      <c r="G40" s="2"/>
      <c r="H40" s="2"/>
      <c r="J40" s="32"/>
      <c r="K40" s="35"/>
      <c r="L40" s="36"/>
    </row>
    <row r="41" spans="1:14">
      <c r="B41" s="5"/>
      <c r="C41" s="5"/>
      <c r="D41" s="5"/>
      <c r="E41" s="5"/>
      <c r="F41" s="5"/>
      <c r="G41" s="5"/>
      <c r="H41" s="5"/>
      <c r="I41" s="5"/>
      <c r="J41" s="5"/>
      <c r="K41" s="37"/>
      <c r="L41" s="38"/>
    </row>
    <row r="42" spans="1:14" customHeight="1" ht="18">
      <c r="B42" s="31" t="s">
        <v>49</v>
      </c>
      <c r="C42" s="5"/>
      <c r="D42" s="5"/>
      <c r="E42" s="5"/>
      <c r="F42" s="5"/>
      <c r="G42" s="5"/>
      <c r="H42" s="5"/>
      <c r="I42" s="5"/>
      <c r="J42" s="5"/>
      <c r="K42" s="5"/>
    </row>
    <row r="43" spans="1:14" customHeight="1" ht="18">
      <c r="B43" s="73" t="s">
        <v>50</v>
      </c>
      <c r="C43" s="73"/>
      <c r="D43" s="73"/>
      <c r="E43" s="73"/>
      <c r="F43" s="73"/>
      <c r="G43" s="73"/>
      <c r="H43" s="73"/>
      <c r="I43" s="73"/>
      <c r="J43" s="73"/>
      <c r="K43" s="73"/>
      <c r="L43" s="73"/>
    </row>
    <row r="44" spans="1:14" customHeight="1" ht="18">
      <c r="B44" s="73" t="s">
        <v>51</v>
      </c>
      <c r="C44" s="73"/>
      <c r="D44" s="73"/>
      <c r="E44" s="73"/>
      <c r="F44" s="73"/>
      <c r="G44" s="73"/>
      <c r="H44" s="73"/>
      <c r="I44" s="73"/>
      <c r="J44" s="73"/>
      <c r="K44" s="73"/>
      <c r="L44" s="73"/>
    </row>
    <row r="45" spans="1:14" customHeight="1" ht="18">
      <c r="B45" s="73" t="s">
        <v>52</v>
      </c>
      <c r="C45" s="73"/>
      <c r="D45" s="73"/>
      <c r="E45" s="73"/>
      <c r="F45" s="73"/>
      <c r="G45" s="73"/>
      <c r="H45" s="73"/>
      <c r="I45" s="73"/>
      <c r="J45" s="73"/>
      <c r="K45" s="73"/>
      <c r="L45" s="73"/>
    </row>
    <row r="46" spans="1:14" customHeight="1" ht="18">
      <c r="B46" s="73" t="s">
        <v>53</v>
      </c>
      <c r="C46" s="73"/>
      <c r="D46" s="73"/>
      <c r="E46" s="73"/>
      <c r="F46" s="73"/>
      <c r="G46" s="73"/>
      <c r="H46" s="73"/>
      <c r="I46" s="73"/>
      <c r="J46" s="73"/>
      <c r="K46" s="73"/>
      <c r="L46" s="73"/>
    </row>
    <row r="47" spans="1:14" customHeight="1" ht="18">
      <c r="B47" s="73" t="s">
        <v>54</v>
      </c>
      <c r="C47" s="73"/>
      <c r="D47" s="73"/>
      <c r="E47" s="73"/>
      <c r="F47" s="73"/>
      <c r="G47" s="73"/>
      <c r="H47" s="73"/>
      <c r="I47" s="73"/>
      <c r="J47" s="73"/>
      <c r="K47" s="73"/>
      <c r="L47" s="73"/>
    </row>
    <row r="48" spans="1:14">
      <c r="B48" s="5"/>
      <c r="C48" s="5"/>
      <c r="D48" s="5"/>
      <c r="E48" s="5"/>
      <c r="F48" s="5"/>
      <c r="G48" s="5"/>
      <c r="H48" s="5"/>
      <c r="I48" s="5"/>
      <c r="J48" s="5"/>
      <c r="K48" s="5"/>
      <c r="L48" s="5"/>
    </row>
    <row r="49" spans="1:14" customHeight="1" ht="9">
      <c r="B49" s="45"/>
      <c r="C49" s="45"/>
      <c r="E49" s="45"/>
      <c r="F49" s="45"/>
      <c r="G49" s="45"/>
      <c r="H49" s="45"/>
      <c r="I49" s="45"/>
      <c r="J49" s="45"/>
      <c r="K49" s="45"/>
      <c r="L49" s="45"/>
      <c r="M49" s="45"/>
    </row>
    <row r="50" spans="1:14" customHeight="1" ht="31.8">
      <c r="B50" s="45"/>
      <c r="C50" s="45"/>
      <c r="D50" s="44" t="s">
        <v>0</v>
      </c>
      <c r="E50" s="44"/>
      <c r="F50" s="44"/>
      <c r="G50" s="44"/>
      <c r="H50" s="44"/>
      <c r="I50" s="44"/>
      <c r="J50" s="44"/>
      <c r="K50" s="44"/>
      <c r="L50" s="44"/>
      <c r="M50" s="44"/>
    </row>
    <row r="51" spans="1:14" customHeight="1" ht="21">
      <c r="B51" s="45"/>
      <c r="C51" s="45"/>
      <c r="D51" s="60" t="s">
        <v>55</v>
      </c>
      <c r="E51" s="60"/>
      <c r="F51" s="60"/>
      <c r="G51" s="60"/>
      <c r="H51" s="60"/>
      <c r="I51" s="60"/>
    </row>
    <row r="52" spans="1:14">
      <c r="B52" s="45"/>
      <c r="C52" s="45"/>
    </row>
    <row r="53" spans="1:14">
      <c r="B53" s="45"/>
      <c r="C53" s="45"/>
    </row>
    <row r="54" spans="1:14" customHeight="1" ht="21">
      <c r="B54" s="79" t="s">
        <v>56</v>
      </c>
      <c r="C54" s="79"/>
      <c r="D54" s="79"/>
      <c r="E54" s="79"/>
      <c r="F54" s="79"/>
      <c r="G54" s="79"/>
      <c r="H54" s="79"/>
      <c r="I54" s="79"/>
      <c r="J54" s="79"/>
      <c r="K54" s="79"/>
      <c r="L54" s="79"/>
    </row>
    <row r="56" spans="1:14">
      <c r="B56" s="80" t="s">
        <v>57</v>
      </c>
      <c r="C56" s="80"/>
      <c r="D56" s="80"/>
      <c r="E56" s="80"/>
      <c r="F56" s="80"/>
      <c r="G56" s="80"/>
      <c r="H56" s="80"/>
      <c r="I56" s="80"/>
      <c r="J56" s="80"/>
      <c r="K56" s="80"/>
      <c r="L56" s="80"/>
    </row>
    <row r="57" spans="1:14">
      <c r="B57" s="80" t="s">
        <v>58</v>
      </c>
      <c r="C57" s="80"/>
      <c r="D57" s="80"/>
      <c r="E57" s="80"/>
      <c r="F57" s="80"/>
      <c r="G57" s="80"/>
      <c r="H57" s="80"/>
      <c r="I57" s="80"/>
      <c r="J57" s="80"/>
      <c r="K57" s="80"/>
      <c r="L57" s="80"/>
    </row>
    <row r="58" spans="1:14">
      <c r="B58" s="56" t="s">
        <v>59</v>
      </c>
      <c r="C58" s="56"/>
      <c r="D58" s="56"/>
      <c r="E58" s="56"/>
      <c r="F58" s="56"/>
      <c r="G58" s="56"/>
      <c r="H58" s="56"/>
      <c r="I58" s="56"/>
      <c r="J58" s="56"/>
      <c r="K58" s="56"/>
      <c r="L58" s="56"/>
    </row>
    <row r="59" spans="1:14">
      <c r="B59" s="80" t="s">
        <v>60</v>
      </c>
      <c r="C59" s="80"/>
      <c r="D59" s="80"/>
      <c r="E59" s="80"/>
      <c r="F59" s="80"/>
      <c r="G59" s="80"/>
      <c r="H59" s="80"/>
      <c r="I59" s="80"/>
      <c r="J59" s="80"/>
      <c r="K59" s="80"/>
      <c r="L59" s="80"/>
    </row>
    <row r="60" spans="1:14">
      <c r="B60" s="80" t="s">
        <v>61</v>
      </c>
      <c r="C60" s="80"/>
      <c r="D60" s="80"/>
      <c r="E60" s="80"/>
      <c r="F60" s="80"/>
      <c r="G60" s="80"/>
      <c r="H60" s="80"/>
      <c r="I60" s="80"/>
      <c r="J60" s="80"/>
      <c r="K60" s="80"/>
      <c r="L60" s="80"/>
    </row>
    <row r="61" spans="1:14">
      <c r="B61" s="56" t="s">
        <v>62</v>
      </c>
      <c r="C61" s="56"/>
      <c r="D61" s="56"/>
      <c r="E61" s="56"/>
      <c r="F61" s="56"/>
      <c r="G61" s="56"/>
      <c r="H61" s="56"/>
      <c r="I61" s="56"/>
      <c r="J61" s="56"/>
      <c r="K61" s="56"/>
      <c r="L61" s="56"/>
    </row>
    <row r="62" spans="1:14">
      <c r="B62" s="80" t="s">
        <v>63</v>
      </c>
      <c r="C62" s="80"/>
      <c r="D62" s="80"/>
      <c r="E62" s="80"/>
      <c r="F62" s="80"/>
      <c r="G62" s="80"/>
      <c r="H62" s="80"/>
      <c r="I62" s="80"/>
      <c r="J62" s="80"/>
      <c r="K62" s="80"/>
      <c r="L62" s="80"/>
    </row>
    <row r="63" spans="1:14">
      <c r="B63" s="80" t="s">
        <v>64</v>
      </c>
      <c r="C63" s="80"/>
      <c r="D63" s="80"/>
      <c r="E63" s="80"/>
      <c r="F63" s="80"/>
      <c r="G63" s="80"/>
      <c r="H63" s="80"/>
      <c r="I63" s="80"/>
      <c r="J63" s="80"/>
      <c r="K63" s="80"/>
      <c r="L63" s="80"/>
    </row>
    <row r="64" spans="1:14">
      <c r="B64" s="80" t="s">
        <v>65</v>
      </c>
      <c r="C64" s="80"/>
      <c r="D64" s="80"/>
      <c r="E64" s="80"/>
      <c r="F64" s="80"/>
      <c r="G64" s="80"/>
      <c r="H64" s="80"/>
      <c r="I64" s="80"/>
      <c r="J64" s="80"/>
      <c r="K64" s="80"/>
      <c r="L64" s="80"/>
    </row>
    <row r="65" spans="1:14">
      <c r="B65" s="80" t="s">
        <v>66</v>
      </c>
      <c r="C65" s="80"/>
      <c r="D65" s="80"/>
      <c r="E65" s="80"/>
      <c r="F65" s="80"/>
      <c r="G65" s="80"/>
      <c r="H65" s="80"/>
      <c r="I65" s="80"/>
      <c r="J65" s="80"/>
      <c r="K65" s="80"/>
      <c r="L65" s="80"/>
    </row>
    <row r="66" spans="1:14">
      <c r="B66" s="80" t="s">
        <v>67</v>
      </c>
      <c r="C66" s="80"/>
      <c r="D66" s="80"/>
      <c r="E66" s="80"/>
      <c r="F66" s="80"/>
      <c r="G66" s="80"/>
      <c r="H66" s="80"/>
      <c r="I66" s="80"/>
      <c r="J66" s="80"/>
      <c r="K66" s="80"/>
      <c r="L66" s="80"/>
    </row>
    <row r="67" spans="1:14">
      <c r="B67" s="80" t="s">
        <v>68</v>
      </c>
      <c r="C67" s="80"/>
      <c r="D67" s="80"/>
      <c r="E67" s="80"/>
      <c r="F67" s="80"/>
      <c r="G67" s="80"/>
      <c r="H67" s="80"/>
      <c r="I67" s="80"/>
      <c r="J67" s="80"/>
      <c r="K67" s="80"/>
      <c r="L67" s="80"/>
    </row>
    <row r="68" spans="1:14">
      <c r="B68" s="80" t="s">
        <v>69</v>
      </c>
      <c r="C68" s="80"/>
      <c r="D68" s="80"/>
      <c r="E68" s="80"/>
      <c r="F68" s="80"/>
      <c r="G68" s="80"/>
      <c r="H68" s="80"/>
      <c r="I68" s="80"/>
      <c r="J68" s="80"/>
      <c r="K68" s="80"/>
      <c r="L68" s="80"/>
    </row>
    <row r="69" spans="1:14">
      <c r="B69" s="80" t="s">
        <v>70</v>
      </c>
      <c r="C69" s="80"/>
      <c r="D69" s="80"/>
      <c r="E69" s="80"/>
      <c r="F69" s="80"/>
      <c r="G69" s="80"/>
      <c r="H69" s="80"/>
      <c r="I69" s="80"/>
      <c r="J69" s="80"/>
      <c r="K69" s="80"/>
      <c r="L69" s="80"/>
    </row>
    <row r="70" spans="1:14">
      <c r="B70" s="80" t="s">
        <v>71</v>
      </c>
      <c r="C70" s="80"/>
      <c r="D70" s="80"/>
      <c r="E70" s="80"/>
      <c r="F70" s="80"/>
      <c r="G70" s="80"/>
      <c r="H70" s="80"/>
      <c r="I70" s="80"/>
      <c r="J70" s="80"/>
      <c r="K70" s="80"/>
      <c r="L70" s="80"/>
    </row>
    <row r="71" spans="1:14">
      <c r="B71" s="80" t="s">
        <v>72</v>
      </c>
      <c r="C71" s="80"/>
      <c r="D71" s="80"/>
      <c r="E71" s="80"/>
      <c r="F71" s="80"/>
      <c r="G71" s="80"/>
      <c r="H71" s="80"/>
      <c r="I71" s="80"/>
      <c r="J71" s="80"/>
      <c r="K71" s="80"/>
      <c r="L71" s="80"/>
    </row>
    <row r="72" spans="1:14">
      <c r="B72" s="80" t="s">
        <v>73</v>
      </c>
      <c r="C72" s="80"/>
      <c r="D72" s="80"/>
      <c r="E72" s="80"/>
      <c r="F72" s="80"/>
      <c r="G72" s="80"/>
      <c r="H72" s="80"/>
      <c r="I72" s="80"/>
      <c r="J72" s="80"/>
      <c r="K72" s="80"/>
      <c r="L72" s="80"/>
    </row>
    <row r="73" spans="1:14">
      <c r="B73" s="76" t="s">
        <v>74</v>
      </c>
      <c r="C73" s="76"/>
      <c r="D73" s="76"/>
      <c r="E73" s="76"/>
      <c r="F73" s="76"/>
      <c r="G73" s="76"/>
      <c r="H73" s="76"/>
      <c r="I73" s="76"/>
      <c r="J73" s="76"/>
      <c r="K73" s="76"/>
      <c r="L73" s="76"/>
    </row>
    <row r="74" spans="1:14">
      <c r="B74" s="80" t="s">
        <v>75</v>
      </c>
      <c r="C74" s="80"/>
      <c r="D74" s="80"/>
      <c r="E74" s="80"/>
      <c r="F74" s="80"/>
      <c r="G74" s="80"/>
      <c r="H74" s="80"/>
      <c r="I74" s="80"/>
      <c r="J74" s="80"/>
      <c r="K74" s="80"/>
      <c r="L74" s="80"/>
    </row>
    <row r="75" spans="1:14">
      <c r="B75" s="76" t="s">
        <v>76</v>
      </c>
      <c r="C75" s="76"/>
      <c r="D75" s="76"/>
      <c r="E75" s="76"/>
      <c r="F75" s="76"/>
      <c r="G75" s="76"/>
      <c r="H75" s="76"/>
      <c r="I75" s="76"/>
      <c r="J75" s="76"/>
      <c r="K75" s="76"/>
      <c r="L75" s="76"/>
    </row>
    <row r="76" spans="1:14">
      <c r="B76" s="80" t="s">
        <v>77</v>
      </c>
      <c r="C76" s="80"/>
      <c r="D76" s="80"/>
      <c r="E76" s="80"/>
      <c r="F76" s="80"/>
      <c r="G76" s="80"/>
      <c r="H76" s="80"/>
      <c r="I76" s="80"/>
      <c r="J76" s="80"/>
      <c r="K76" s="80"/>
      <c r="L76" s="80"/>
    </row>
    <row r="77" spans="1:14">
      <c r="B77" s="80" t="s">
        <v>78</v>
      </c>
      <c r="C77" s="80"/>
      <c r="D77" s="80"/>
      <c r="E77" s="80"/>
      <c r="F77" s="80"/>
      <c r="G77" s="80"/>
      <c r="H77" s="80"/>
      <c r="I77" s="80"/>
      <c r="J77" s="80"/>
      <c r="K77" s="80"/>
      <c r="L77" s="80"/>
    </row>
    <row r="78" spans="1:14">
      <c r="B78" s="80" t="s">
        <v>79</v>
      </c>
      <c r="C78" s="80"/>
      <c r="D78" s="80"/>
      <c r="E78" s="80"/>
      <c r="F78" s="80"/>
      <c r="G78" s="80"/>
      <c r="H78" s="80"/>
      <c r="I78" s="80"/>
      <c r="J78" s="80"/>
      <c r="K78" s="80"/>
      <c r="L78" s="80"/>
    </row>
    <row r="79" spans="1:14">
      <c r="B79" s="80" t="s">
        <v>80</v>
      </c>
      <c r="C79" s="80"/>
      <c r="D79" s="80"/>
      <c r="E79" s="80"/>
      <c r="F79" s="80"/>
      <c r="G79" s="80"/>
      <c r="H79" s="80"/>
      <c r="I79" s="80"/>
      <c r="J79" s="80"/>
      <c r="K79" s="80"/>
      <c r="L79" s="80"/>
    </row>
    <row r="80" spans="1:14">
      <c r="B80" s="80" t="s">
        <v>81</v>
      </c>
      <c r="C80" s="80"/>
      <c r="D80" s="80"/>
      <c r="E80" s="80"/>
      <c r="F80" s="80"/>
      <c r="G80" s="80"/>
      <c r="H80" s="80"/>
      <c r="I80" s="80"/>
      <c r="J80" s="80"/>
      <c r="K80" s="80"/>
      <c r="L80" s="80"/>
    </row>
    <row r="81" spans="1:14">
      <c r="A81" s="39"/>
      <c r="B81" s="81" t="s">
        <v>82</v>
      </c>
      <c r="C81" s="81"/>
      <c r="D81" s="81"/>
      <c r="E81" s="81"/>
      <c r="F81" s="81"/>
      <c r="G81" s="81"/>
      <c r="H81" s="81"/>
      <c r="I81" s="81"/>
      <c r="J81" s="81"/>
      <c r="K81" s="81"/>
      <c r="L81" s="81"/>
    </row>
    <row r="82" spans="1:14">
      <c r="A82" s="39"/>
      <c r="B82" s="80" t="s">
        <v>83</v>
      </c>
      <c r="C82" s="80"/>
      <c r="D82" s="80"/>
      <c r="E82" s="80"/>
      <c r="F82" s="80"/>
      <c r="G82" s="80"/>
      <c r="H82" s="80"/>
      <c r="I82" s="80"/>
      <c r="J82" s="80"/>
      <c r="K82" s="80"/>
      <c r="L82" s="80"/>
    </row>
    <row r="83" spans="1:14">
      <c r="A83" s="39"/>
      <c r="B83" s="81" t="s">
        <v>84</v>
      </c>
      <c r="C83" s="81"/>
      <c r="D83" s="81"/>
      <c r="E83" s="81"/>
      <c r="F83" s="81"/>
      <c r="G83" s="81"/>
      <c r="H83" s="81"/>
      <c r="I83" s="81"/>
      <c r="J83" s="81"/>
      <c r="K83" s="81"/>
      <c r="L83" s="81"/>
    </row>
    <row r="85" spans="1:14">
      <c r="C85" s="45"/>
      <c r="D85" s="45"/>
      <c r="E85" s="45"/>
      <c r="F85" s="45"/>
      <c r="G85" s="45"/>
      <c r="H85" s="45"/>
      <c r="I85" s="45"/>
    </row>
    <row r="86" spans="1:14">
      <c r="C86" s="45"/>
      <c r="D86" s="45"/>
      <c r="E86" s="45"/>
      <c r="F86" s="45"/>
      <c r="G86" s="45"/>
      <c r="H86" s="45"/>
      <c r="I86" s="45"/>
    </row>
    <row r="87" spans="1:14">
      <c r="C87" s="45"/>
      <c r="D87" s="45"/>
      <c r="E87" s="45"/>
      <c r="F87" s="45"/>
      <c r="G87" s="45"/>
      <c r="H87" s="45"/>
      <c r="I87" s="45"/>
    </row>
    <row r="88" spans="1:14">
      <c r="C88" s="45"/>
      <c r="D88" s="45"/>
      <c r="E88" s="45"/>
      <c r="F88" s="45"/>
      <c r="G88" s="45"/>
      <c r="H88" s="45"/>
      <c r="I88" s="45"/>
    </row>
    <row r="89" spans="1:14">
      <c r="C89" s="45"/>
      <c r="D89" s="45"/>
      <c r="E89" s="45"/>
      <c r="F89" s="45"/>
      <c r="G89" s="45"/>
      <c r="H89" s="45"/>
      <c r="I89" s="45"/>
    </row>
    <row r="90" spans="1:14">
      <c r="C90" s="45"/>
      <c r="D90" s="45"/>
      <c r="E90" s="45"/>
      <c r="F90" s="45"/>
      <c r="G90" s="45"/>
      <c r="H90" s="45"/>
      <c r="I90" s="45"/>
    </row>
    <row r="91" spans="1:14">
      <c r="C91" s="45"/>
      <c r="D91" s="45"/>
      <c r="E91" s="45"/>
      <c r="F91" s="45"/>
      <c r="G91" s="45"/>
      <c r="H91" s="45"/>
      <c r="I91" s="45"/>
    </row>
    <row r="92" spans="1:14" customHeight="1" ht="15.6">
      <c r="C92" s="45"/>
      <c r="D92" s="45"/>
      <c r="E92" s="45"/>
      <c r="F92" s="45"/>
      <c r="G92" s="45"/>
      <c r="H92" s="45"/>
      <c r="I92" s="45"/>
    </row>
    <row r="93" spans="1:14" customHeight="1" ht="15.6">
      <c r="C93" s="45"/>
      <c r="D93" s="45"/>
      <c r="E93" s="45"/>
      <c r="F93" s="45"/>
      <c r="G93" s="45"/>
      <c r="H93" s="45"/>
      <c r="I93" s="45"/>
    </row>
    <row r="94" spans="1:14">
      <c r="C94" s="45"/>
      <c r="D94" s="45"/>
      <c r="E94" s="45"/>
      <c r="F94" s="45"/>
      <c r="G94" s="45"/>
      <c r="H94" s="45"/>
      <c r="I94" s="45"/>
    </row>
    <row r="100" spans="1:14" customHeight="1" ht="15.6"/>
  </sheetData>
  <sheetProtection selectLockedCells="1"/>
  <mergeCells>
    <mergeCell ref="B73:L73"/>
    <mergeCell ref="B74:L74"/>
    <mergeCell ref="A7:C7"/>
    <mergeCell ref="I7:L7"/>
    <mergeCell ref="B58:L58"/>
    <mergeCell ref="B47:L47"/>
    <mergeCell ref="C38:E38"/>
    <mergeCell ref="K38:L38"/>
    <mergeCell ref="B43:L43"/>
    <mergeCell ref="B56:L56"/>
    <mergeCell ref="B69:L69"/>
    <mergeCell ref="B57:L57"/>
    <mergeCell ref="G37:H37"/>
    <mergeCell ref="J11:L11"/>
    <mergeCell ref="B83:L83"/>
    <mergeCell ref="B66:L66"/>
    <mergeCell ref="B67:L67"/>
    <mergeCell ref="B68:L68"/>
    <mergeCell ref="B59:L59"/>
    <mergeCell ref="B60:L60"/>
    <mergeCell ref="B61:L61"/>
    <mergeCell ref="B62:L62"/>
    <mergeCell ref="B63:L63"/>
    <mergeCell ref="B64:L64"/>
    <mergeCell ref="B65:L65"/>
    <mergeCell ref="B70:L70"/>
    <mergeCell ref="B71:L71"/>
    <mergeCell ref="B72:L72"/>
    <mergeCell ref="B82:L82"/>
    <mergeCell ref="B81:L81"/>
    <mergeCell ref="B80:L80"/>
    <mergeCell ref="B75:L75"/>
    <mergeCell ref="B76:L76"/>
    <mergeCell ref="B77:L77"/>
    <mergeCell ref="B78:L78"/>
    <mergeCell ref="B79:L79"/>
    <mergeCell ref="B49:C53"/>
    <mergeCell ref="B19:F19"/>
    <mergeCell ref="C35:E35"/>
    <mergeCell ref="B54:L54"/>
    <mergeCell ref="B45:L45"/>
    <mergeCell ref="G38:H38"/>
    <mergeCell ref="K37:L37"/>
    <mergeCell ref="C37:E37"/>
    <mergeCell ref="B27:I27"/>
    <mergeCell ref="B23:I23"/>
    <mergeCell ref="B20:I20"/>
    <mergeCell ref="B21:I21"/>
    <mergeCell ref="B22:I22"/>
    <mergeCell ref="D50:J50"/>
    <mergeCell ref="B31:J31"/>
    <mergeCell ref="B26:I26"/>
    <mergeCell ref="B12:L12"/>
    <mergeCell ref="B13:J13"/>
    <mergeCell ref="B14:J14"/>
    <mergeCell ref="B16:J16"/>
    <mergeCell ref="B15:J15"/>
    <mergeCell ref="C85:I94"/>
    <mergeCell ref="A1:L1"/>
    <mergeCell ref="E2:L2"/>
    <mergeCell ref="D51:I51"/>
    <mergeCell ref="E3:J3"/>
    <mergeCell ref="E4:J4"/>
    <mergeCell ref="K36:L36"/>
    <mergeCell ref="C36:E36"/>
    <mergeCell ref="G36:H36"/>
    <mergeCell ref="G35:H35"/>
    <mergeCell ref="B34:L34"/>
    <mergeCell ref="J8:L8"/>
    <mergeCell ref="J10:L10"/>
    <mergeCell ref="B46:L46"/>
    <mergeCell ref="B44:L44"/>
    <mergeCell ref="F11:G11"/>
    <mergeCell ref="K50:M50"/>
    <mergeCell ref="E49:M49"/>
    <mergeCell ref="J9:L9"/>
    <mergeCell ref="B2:C6"/>
    <mergeCell ref="E7:G7"/>
    <mergeCell ref="F9:G9"/>
    <mergeCell ref="F10:G10"/>
    <mergeCell ref="F8:G8"/>
    <mergeCell ref="K35:L35"/>
    <mergeCell ref="B25:I25"/>
    <mergeCell ref="B24:I24"/>
    <mergeCell ref="B33:L33"/>
    <mergeCell ref="B32:J32"/>
    <mergeCell ref="B28:J28"/>
    <mergeCell ref="B29:J29"/>
    <mergeCell ref="B30:J30"/>
    <mergeCell ref="C8:C9"/>
  </mergeCells>
  <dataValidations count="5">
    <dataValidation type="custom" allowBlank="0" showDropDown="0" showInputMessage="1" showErrorMessage="1" errorTitle="INGRESA EL NOMBRE" error="Ingresa al menos 1 nombre del cliente" sqref="C9">
      <formula1>C8&lt;&gt;0</formula1>
    </dataValidation>
    <dataValidation type="custom" allowBlank="0" showDropDown="0" showInputMessage="1" showErrorMessage="1" errorTitle="INGRESO APELLIDOS" error="Ingresa los apellidos del cliente" sqref="C10">
      <formula1>C9&lt;&gt;0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  <dataValidation type="custom" allowBlank="0" showDropDown="0" showInputMessage="1" showErrorMessage="1" errorTitle="VERIFICAR NÚMERO DE TELEFONO" error="Verifica que tenga 9 digitos sin espacio" sqref="J8:L8">
      <formula1>(LEN(C11)=9)</formula1>
    </dataValidation>
  </dataValidations>
  <printOptions gridLines="false" gridLinesSet="true" horizontalCentered="true"/>
  <pageMargins left="0.23622047244094" right="0.23622047244094" top="0.74803149606299" bottom="0.74803149606299" header="0.31496062992126" footer="0.31496062992126"/>
  <pageSetup paperSize="9" orientation="portrait" scale="71" fitToHeight="2" fitToWidth="2" pageOrder="downThenOver" r:id="rId1ps"/>
  <headerFooter differentOddEven="false" differentFirst="false" scaleWithDoc="true" alignWithMargins="true">
    <oddHeader/>
    <oddFooter/>
    <evenHeader/>
    <evenFooter/>
    <firstHeader/>
    <firstFooter/>
  </headerFooter>
  <rowBreaks count="1" manualBreakCount="1">
    <brk id="48" man="1" max="12"/>
  </rowBreaks>
  <ignoredErrors>
    <ignoredError sqref="J25" numberStoredAsText="1"/>
  </ignoredErrors>
  <drawing r:id="rId2"/>
  <tableParts count="0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H47"/>
  <sheetViews>
    <sheetView tabSelected="1" workbookViewId="0" showGridLines="true" showRowColHeaders="1">
      <selection activeCell="D44" sqref="D44"/>
    </sheetView>
  </sheetViews>
  <sheetFormatPr defaultRowHeight="14.4" outlineLevelRow="0" outlineLevelCol="0"/>
  <cols>
    <col min="2" max="2" width="24.708" bestFit="true" customWidth="true" style="0"/>
    <col min="3" max="3" width="18.71" bestFit="true" customWidth="true" style="0"/>
    <col min="4" max="4" width="10.569" bestFit="true" customWidth="true" style="0"/>
  </cols>
  <sheetData>
    <row r="3" spans="1:8">
      <c r="B3" s="85" t="s">
        <v>86</v>
      </c>
      <c r="C3"/>
      <c r="D3"/>
      <c r="E3"/>
      <c r="F3"/>
      <c r="G3"/>
    </row>
    <row r="5" spans="1:8">
      <c r="B5" s="87" t="s">
        <v>87</v>
      </c>
      <c r="C5" s="86" t="s">
        <v>102</v>
      </c>
      <c r="D5" s="86" t="s">
        <v>105</v>
      </c>
    </row>
    <row r="6" spans="1:8">
      <c r="B6" t="s">
        <v>88</v>
      </c>
      <c r="C6">
        <v>0</v>
      </c>
      <c r="D6" s="91">
        <v>22.3</v>
      </c>
      <c r="G6" s="90" t="s">
        <v>103</v>
      </c>
      <c r="H6" s="90" t="s">
        <v>104</v>
      </c>
    </row>
    <row r="7" spans="1:8">
      <c r="B7" t="s">
        <v>89</v>
      </c>
      <c r="C7">
        <v>0</v>
      </c>
      <c r="D7" s="92">
        <v>0.06</v>
      </c>
      <c r="G7" s="90" t="s">
        <v>19</v>
      </c>
      <c r="H7" s="90">
        <v>260</v>
      </c>
    </row>
    <row r="8" spans="1:8">
      <c r="B8" t="s">
        <v>90</v>
      </c>
      <c r="C8" s="89">
        <v>9.2</v>
      </c>
      <c r="D8"/>
    </row>
    <row r="9" spans="1:8">
      <c r="B9" s="88" t="s">
        <v>91</v>
      </c>
      <c r="C9" s="89">
        <v>0</v>
      </c>
      <c r="D9"/>
    </row>
    <row r="10" spans="1:8">
      <c r="B10" t="s">
        <v>92</v>
      </c>
      <c r="C10">
        <v>250</v>
      </c>
      <c r="D10">
        <f>SUM(C10:C10)</f>
        <v>250</v>
      </c>
    </row>
    <row r="11" spans="1:8">
      <c r="B11" t="s">
        <v>93</v>
      </c>
      <c r="C11" s="89">
        <f>C8*C10</f>
        <v>2300</v>
      </c>
      <c r="D11">
        <f>SUM(C11:C11)</f>
        <v>2300</v>
      </c>
    </row>
    <row r="12" spans="1:8">
      <c r="B12" s="88" t="s">
        <v>94</v>
      </c>
      <c r="C12" s="89">
        <f>C10*C9</f>
        <v>0</v>
      </c>
      <c r="D12"/>
    </row>
    <row r="13" spans="1:8">
      <c r="B13" t="s">
        <v>95</v>
      </c>
      <c r="C13" s="93">
        <f>C11/D11</f>
        <v>636</v>
      </c>
      <c r="D13"/>
    </row>
    <row r="14" spans="1:8">
      <c r="B14" t="s">
        <v>96</v>
      </c>
      <c r="C14" s="89">
        <f>D14*C13</f>
        <v>636</v>
      </c>
      <c r="D14">
        <f>IF(D7&lt;1, H7*0.6, H7*0.6*D7)</f>
        <v>156</v>
      </c>
    </row>
    <row r="15" spans="1:8">
      <c r="B15" t="s">
        <v>97</v>
      </c>
      <c r="C15" s="89">
        <f>C11+C14</f>
        <v>0.67370740336642</v>
      </c>
      <c r="D15"/>
    </row>
    <row r="16" spans="1:8">
      <c r="B16" s="88" t="s">
        <v>98</v>
      </c>
      <c r="C16" s="89">
        <f>C12+C14</f>
        <v>168.07652299185</v>
      </c>
      <c r="D16"/>
    </row>
    <row r="17" spans="1:8">
      <c r="B17" t="s">
        <v>99</v>
      </c>
      <c r="C17" s="89">
        <f>IF(D11&gt;5000,100*C13,50*C13)</f>
        <v>804.07652299185</v>
      </c>
      <c r="D17"/>
    </row>
    <row r="18" spans="1:8">
      <c r="B18" t="s">
        <v>100</v>
      </c>
      <c r="C18" s="89">
        <f>C15+C17</f>
        <v>804.07652299185</v>
      </c>
      <c r="D18"/>
    </row>
    <row r="19" spans="1:8">
      <c r="B19" s="88" t="s">
        <v>101</v>
      </c>
      <c r="C19" s="89">
        <f>C16+C17</f>
        <v>33.685370168321</v>
      </c>
      <c r="D19"/>
    </row>
    <row r="23" spans="1:8">
      <c r="B23" s="85" t="s">
        <v>112</v>
      </c>
      <c r="C23"/>
      <c r="D23"/>
      <c r="E23"/>
    </row>
    <row r="26" spans="1:8">
      <c r="B26" t="s">
        <v>113</v>
      </c>
      <c r="C26" s="89">
        <v>0</v>
      </c>
      <c r="D26" s="89">
        <f>SUM(C26:C26)</f>
        <v>0</v>
      </c>
    </row>
    <row r="27" spans="1:8">
      <c r="C27" s="94">
        <v>0.0</v>
      </c>
      <c r="D27" s="93">
        <f>SUM(C27:C27)</f>
        <v>0</v>
      </c>
    </row>
    <row r="28" spans="1:8">
      <c r="B28" t="s">
        <v>106</v>
      </c>
      <c r="C28" s="89">
        <f>MAX(C19,C18)*C27</f>
        <v>139.40357902185</v>
      </c>
      <c r="D28" s="89">
        <f>SUM(C28:C28)</f>
        <v>139.40357902185</v>
      </c>
    </row>
    <row r="29" spans="1:8">
      <c r="B29" t="s">
        <v>31</v>
      </c>
      <c r="C29" s="89">
        <f>0.16*(MAX(C19,C18)+C28)</f>
        <v>17.425447377732</v>
      </c>
      <c r="D29" s="89">
        <f>SUM(C29:C29)</f>
        <v>17.425447377732</v>
      </c>
    </row>
    <row r="30" spans="1:8">
      <c r="B30" t="s">
        <v>32</v>
      </c>
      <c r="C30" s="89">
        <f>0.02*(MAX(C19,C18)+C28)</f>
        <v>35.983548835016</v>
      </c>
      <c r="D30" s="89">
        <f>SUM(C30:C30)</f>
        <v>35.983548835016</v>
      </c>
    </row>
    <row r="31" spans="1:8">
      <c r="B31" t="s">
        <v>107</v>
      </c>
      <c r="C31" s="89">
        <f>0.035*(MAX(C18,C19) +C28+C29+C30)</f>
        <v>226.32305096101</v>
      </c>
      <c r="D31" s="89">
        <f>SUM(C31:C31)</f>
        <v>226.32305096101</v>
      </c>
    </row>
    <row r="32" spans="1:8">
      <c r="B32" t="s">
        <v>36</v>
      </c>
      <c r="C32" s="89">
        <f>SUM(C28:C31)</f>
        <v>419.13562619561</v>
      </c>
      <c r="D32" s="89">
        <f>SUM(D28:D31)</f>
        <v>419.13562619561</v>
      </c>
    </row>
    <row r="37" spans="1:8">
      <c r="B37" s="85" t="s">
        <v>114</v>
      </c>
      <c r="C37"/>
      <c r="D37"/>
      <c r="E37"/>
    </row>
    <row r="40" spans="1:8">
      <c r="B40" t="s">
        <v>108</v>
      </c>
      <c r="C40" s="89">
        <f>C13*D40</f>
        <v>66144</v>
      </c>
      <c r="D40">
        <f>IF(D7&lt;1, H7*0.4,H7*0.4*D7)</f>
        <v>104</v>
      </c>
    </row>
    <row r="41" spans="1:8">
      <c r="B41"/>
    </row>
    <row r="43" spans="1:8">
      <c r="B43" t="s">
        <v>108</v>
      </c>
      <c r="C43" t="s">
        <v>102</v>
      </c>
      <c r="D43" t="s">
        <v>105</v>
      </c>
    </row>
    <row r="44" spans="1:8">
      <c r="B44" t="s">
        <v>109</v>
      </c>
      <c r="C44" s="89">
        <f>SUM(C15,C40,C32,(C26))</f>
        <v>66563.809333599</v>
      </c>
      <c r="D44" s="89">
        <f>SUM(C44:C44)</f>
        <v>66563.809333599</v>
      </c>
    </row>
    <row r="45" spans="1:8">
      <c r="B45" t="s">
        <v>45</v>
      </c>
      <c r="C45">
        <v>250</v>
      </c>
      <c r="D45"/>
    </row>
    <row r="46" spans="1:8">
      <c r="B46" t="s">
        <v>110</v>
      </c>
      <c r="C46" s="89">
        <f>SUM(C44/C45)</f>
        <v>266.2552373344</v>
      </c>
      <c r="D46"/>
    </row>
    <row r="47" spans="1:8">
      <c r="B47" t="s">
        <v>111</v>
      </c>
      <c r="C47" s="95">
        <f>C46*3.7</f>
        <v>985.14437813726</v>
      </c>
      <c r="D47"/>
    </row>
  </sheetData>
  <mergeCells>
    <mergeCell ref="B3:G3"/>
    <mergeCell ref="B23:E23"/>
    <mergeCell ref="B37:E37"/>
    <mergeCell ref="B41:E41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1</vt:lpstr>
      <vt:lpstr>2</vt:lpstr>
    </vt:vector>
  </TitlesOfParts>
  <Company>InKulpado666</Company>
  <Manager/>
  <LinksUpToDate>false</LinksUpToDate>
  <SharedDoc>false</SharedDoc>
  <HyperlinkBase/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HP</dc:creator>
  <cp:lastModifiedBy>Admin</cp:lastModifiedBy>
  <dcterms:created xsi:type="dcterms:W3CDTF">2022-02-19T20:43:21+00:00</dcterms:created>
  <dcterms:modified xsi:type="dcterms:W3CDTF">2024-08-17T18:43:18+00:00</dcterms:modified>
  <dc:title/>
  <dc:description/>
  <dc:subject/>
  <cp:keywords/>
  <cp:category/>
</cp:coreProperties>
</file>