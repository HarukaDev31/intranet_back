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<sst xmlns="http://schemas.openxmlformats.org/spreadsheetml/2006/main" uniqueCount="117">
  <si>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</si>
  <si>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</si>
  <si>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</si>
  <si>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</si>
  <si>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ANTHONY ROCCA CAQUI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</si>
  <si>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</si>
  <si>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</si>
  <si>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</si>
  <si>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</si>
  <si>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</si>
  <si>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</si>
  <si>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</si>
  <si>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</si>
  <si>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</si>
  <si>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</si>
  <si>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</si>
  <si>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</si>
  <si>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</si>
  <si>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</si>
  <si>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</si>
  <si>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</si>
  <si>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</si>
  <si>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</si>
  <si>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</si>
  <si>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</si>
  <si>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</si>
  <si>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</si>
  <si>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</si>
  <si>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</si>
  <si>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</si>
  <si>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</si>
  <si>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</si>
  <si>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</si>
  <si>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</si>
  <si>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</si>
  <si>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</si>
  <si>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</si>
  <si>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</si>
  <si>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</si>
  <si>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</si>
  <si>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</si>
  <si>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</si>
  <si>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</si>
  <si>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</si>
  <si>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</si>
  <si>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</si>
  <si>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</si>
  <si>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</si>
  <si>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</si>
  <si>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</si>
  <si>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</si>
  <si>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</si>
  <si>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</si>
  <si>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</si>
  <si>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</si>
  <si>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</si>
  <si>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</si>
  <si>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</si>
  <si>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</si>
  <si>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</si>
  <si>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</si>
  <si>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</si>
  <si>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</si>
  <si>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</si>
  <si>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</si>
  <si>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</si>
  <si>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</si>
  <si>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</si>
  <si>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</si>
  <si>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</si>
  <si>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</si>
  <si>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</si>
  <si>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</si>
  <si>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</si>
  <si>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</si>
  <si>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</si>
  <si>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</si>
  <si>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</si>
  <si>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</si>
  <si>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</si>
  <si>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</si>
  <si>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</si>
  <si>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</si>
  <si>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</si>
  <si>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</si>
  <si>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😁 un gusto saludarte!
A continuación te envío la cotización final de tu importación📋📦.
🙋‍♂️ PAGO PENDIENTE :
☑️Costo CBM: $0
☑️Impuestos: $174.9
☑️ Total: $174.9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</si>
  <si>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</si>
  <si>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</si>
  <si>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</si>
  <si>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</si>
  <si>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</si>
  <si>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</si>
  <si>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</si>
  <si>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</si>
  <si>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</si>
  <si>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</si>
  <si>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</si>
  <si>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</si>
  <si>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</si>
  <si>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</si>
  <si>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</si>
  <si>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</si>
  <si>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CERRADURA DE MALETA DE EQUIPAJE</t>
  </si>
  <si>
    <t>BROCA DE LIJADO PARA MANICURA</t>
  </si>
  <si>
    <t>DISCOS DE LIJA PARA MANICURA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</si>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</sst>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0.06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0.06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16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47179.28137877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47195.28137877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'2'!E31</f>
        <v>87.451276866201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'2'!E40, '2'!E40*J11)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174.9025537324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190.9025537324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</v>
      </c>
      <c r="G36" s="66">
        <f>+'2'!$C$10</f>
        <v>1000</v>
      </c>
      <c r="H36" s="67"/>
      <c r="I36" s="27">
        <f>+'2'!$C$46</f>
        <v>194.4271188</v>
      </c>
      <c r="J36" s="27">
        <f>+F36*I36</f>
        <v>194427.1188</v>
      </c>
      <c r="K36" s="54">
        <f>I36*3.7</f>
        <v>719.38033956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45</v>
      </c>
      <c r="G37" s="66">
        <f>+'2'!$D$10</f>
        <v>45</v>
      </c>
      <c r="H37" s="67"/>
      <c r="I37" s="27">
        <f>+'2'!$D$46</f>
        <v>57.301786592</v>
      </c>
      <c r="J37" s="27">
        <f>+F37*I37</f>
        <v>2578.58039664</v>
      </c>
      <c r="K37" s="54">
        <f>I37*3.7</f>
        <v>212.0166103904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1600</v>
      </c>
      <c r="G38" s="66">
        <f>+'2'!$E$10</f>
        <v>1600</v>
      </c>
      <c r="H38" s="67"/>
      <c r="I38" s="27">
        <f>+'2'!$E$46</f>
        <v>19.609512712652</v>
      </c>
      <c r="J38" s="27">
        <f>+F38*I38</f>
        <v>31375.220340243</v>
      </c>
      <c r="K38" s="82">
        <f>I38*3.7</f>
        <v>72.555197036813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2645</v>
      </c>
      <c r="G39" s="2"/>
      <c r="H39" s="2"/>
      <c r="J39" s="28">
        <f>+SUM(J36:J38)</f>
        <v>228380.91953688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5.277" bestFit="true" customWidth="true" style="0"/>
    <col min="5" max="5" width="34.135" bestFit="true" customWidth="true" style="0"/>
    <col min="6" max="6" width="11.711" bestFit="true" customWidth="true" style="0"/>
  </cols>
  <sheetData>
    <row r="3" spans="1:10">
      <c r="B3" s="85" t="s">
        <v>86</v>
      </c>
      <c r="C3"/>
      <c r="D3"/>
      <c r="E3"/>
      <c r="F3"/>
      <c r="G3"/>
    </row>
    <row r="5" spans="1:10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107</v>
      </c>
    </row>
    <row r="6" spans="1:10">
      <c r="B6" t="s">
        <v>88</v>
      </c>
      <c r="C6">
        <v>0</v>
      </c>
      <c r="D6">
        <v>0</v>
      </c>
      <c r="E6">
        <v>0</v>
      </c>
      <c r="F6" s="91">
        <v>22.3</v>
      </c>
      <c r="I6" s="90" t="s">
        <v>105</v>
      </c>
      <c r="J6" s="90" t="s">
        <v>106</v>
      </c>
    </row>
    <row r="7" spans="1:10">
      <c r="B7" t="s">
        <v>89</v>
      </c>
      <c r="C7">
        <v>0</v>
      </c>
      <c r="D7">
        <v>0</v>
      </c>
      <c r="E7">
        <v>0</v>
      </c>
      <c r="F7" s="92">
        <v>0.06</v>
      </c>
      <c r="I7" s="90" t="s">
        <v>19</v>
      </c>
      <c r="J7" s="90">
        <v>260</v>
      </c>
    </row>
    <row r="8" spans="1:10">
      <c r="B8" t="s">
        <v>90</v>
      </c>
      <c r="C8" s="89">
        <v>0.06</v>
      </c>
      <c r="D8" s="89">
        <v>0.06</v>
      </c>
      <c r="E8" s="89">
        <v>0.01</v>
      </c>
      <c r="F8"/>
    </row>
    <row r="9" spans="1:10">
      <c r="B9" s="88" t="s">
        <v>91</v>
      </c>
      <c r="C9" s="89">
        <v>0</v>
      </c>
      <c r="D9" s="89">
        <v>0</v>
      </c>
      <c r="E9" s="89">
        <v>0</v>
      </c>
      <c r="F9"/>
    </row>
    <row r="10" spans="1:10">
      <c r="B10" t="s">
        <v>92</v>
      </c>
      <c r="C10">
        <v>1000</v>
      </c>
      <c r="D10">
        <v>45</v>
      </c>
      <c r="E10">
        <v>1600</v>
      </c>
      <c r="F10">
        <f>SUM(C10:E10)</f>
        <v>2645</v>
      </c>
    </row>
    <row r="11" spans="1:10">
      <c r="B11" t="s">
        <v>93</v>
      </c>
      <c r="C11" s="89">
        <f>C8*C10</f>
        <v>60</v>
      </c>
      <c r="D11" s="89">
        <f>D8*D10</f>
        <v>2.7</v>
      </c>
      <c r="E11" s="89">
        <f>E8*E10</f>
        <v>16</v>
      </c>
      <c r="F11">
        <f>SUM(C11:E11)</f>
        <v>78.7</v>
      </c>
    </row>
    <row r="12" spans="1:10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95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96</v>
      </c>
      <c r="C14" s="89">
        <f>F14*C13</f>
        <v>99216</v>
      </c>
      <c r="D14" s="89">
        <f>F14*D13</f>
        <v>1252.68</v>
      </c>
      <c r="E14" s="89">
        <f>F14*E13</f>
        <v>46800</v>
      </c>
      <c r="F14">
        <f>IF(F7&lt;1, J7*0.6, J7*0.6*F7)</f>
        <v>156</v>
      </c>
    </row>
    <row r="15" spans="1:10">
      <c r="B15" t="s">
        <v>97</v>
      </c>
      <c r="C15" s="89">
        <f>C11+C14</f>
        <v>99276</v>
      </c>
      <c r="D15" s="89">
        <f>D11+D14</f>
        <v>1255.38</v>
      </c>
      <c r="E15" s="89">
        <f>E11+E14</f>
        <v>0.3177865110219</v>
      </c>
      <c r="F15"/>
    </row>
    <row r="16" spans="1:10">
      <c r="B16" s="88" t="s">
        <v>98</v>
      </c>
      <c r="C16" s="89">
        <f>C12+C14</f>
        <v>99216</v>
      </c>
      <c r="D16" s="89">
        <f>D12+D14</f>
        <v>1252.68</v>
      </c>
      <c r="E16" s="89">
        <f>E12+E14</f>
        <v>79.281378769742</v>
      </c>
      <c r="F16"/>
    </row>
    <row r="17" spans="1:10">
      <c r="B17" t="s">
        <v>99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100</v>
      </c>
      <c r="C18" s="89">
        <f>C15+C17</f>
        <v>131076</v>
      </c>
      <c r="D18" s="89">
        <f>D15+D17</f>
        <v>1656.88</v>
      </c>
      <c r="E18" s="89">
        <f>E15+E17</f>
        <v>379.59916528076</v>
      </c>
      <c r="F18"/>
    </row>
    <row r="19" spans="1:10">
      <c r="B19" s="88" t="s">
        <v>101</v>
      </c>
      <c r="C19" s="89">
        <f>C16+C17</f>
        <v>131016</v>
      </c>
      <c r="D19" s="89">
        <f>D16+D17</f>
        <v>1654.18</v>
      </c>
      <c r="E19" s="89">
        <f>E16+E17</f>
        <v>15.889325551095</v>
      </c>
      <c r="F19"/>
    </row>
    <row r="23" spans="1:10">
      <c r="B23" s="85" t="s">
        <v>114</v>
      </c>
      <c r="C23"/>
      <c r="D23"/>
      <c r="E23"/>
    </row>
    <row r="26" spans="1:10">
      <c r="B26" t="s">
        <v>115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0.06</v>
      </c>
      <c r="E27" s="94">
        <v>0.0</v>
      </c>
      <c r="F27" s="93">
        <f>SUM(C27:E27)</f>
        <v>0.06</v>
      </c>
    </row>
    <row r="28" spans="1:10">
      <c r="B28" t="s">
        <v>108</v>
      </c>
      <c r="C28" s="89">
        <f>MAX(C19,C18)*C27</f>
        <v>0</v>
      </c>
      <c r="D28" s="89">
        <f>MAX(D19,D18)*D27</f>
        <v>99.4128</v>
      </c>
      <c r="E28" s="89">
        <f>MAX(E19,E18)*E27</f>
        <v>63.227312691334</v>
      </c>
      <c r="F28" s="89">
        <f>SUM(C28:E28)</f>
        <v>162.64011269133</v>
      </c>
    </row>
    <row r="29" spans="1:10">
      <c r="B29" t="s">
        <v>31</v>
      </c>
      <c r="C29" s="89">
        <f>0.16*(MAX(C19,C18)+C28)</f>
        <v>20972.16</v>
      </c>
      <c r="D29" s="89">
        <f>0.16*(MAX(D19,D18)+D28)</f>
        <v>281.006848</v>
      </c>
      <c r="E29" s="89">
        <f>0.16*(MAX(E19,E18)+E28)</f>
        <v>7.9034140864167</v>
      </c>
      <c r="F29" s="89">
        <f>SUM(C29:E29)</f>
        <v>21261.070262086</v>
      </c>
    </row>
    <row r="30" spans="1:10">
      <c r="B30" t="s">
        <v>32</v>
      </c>
      <c r="C30" s="89">
        <f>0.02*(MAX(C19,C18)+C28)</f>
        <v>2621.52</v>
      </c>
      <c r="D30" s="89">
        <f>0.02*(MAX(D19,D18)+D28)</f>
        <v>35.125856</v>
      </c>
      <c r="E30" s="89">
        <f>0.02*(MAX(E19,E18)+E28)</f>
        <v>16.320550088451</v>
      </c>
      <c r="F30" s="89">
        <f>SUM(C30:E30)</f>
        <v>2672.9664060885</v>
      </c>
    </row>
    <row r="31" spans="1:10">
      <c r="B31" t="s">
        <v>109</v>
      </c>
      <c r="C31" s="89">
        <f>0.035*(MAX(C18,C19) +C28+C29+C30)</f>
        <v>5413.4388</v>
      </c>
      <c r="D31" s="89">
        <f>0.035*(MAX(D18,D19) +D28+D29+D30)</f>
        <v>72.53489264</v>
      </c>
      <c r="E31" s="89">
        <f>0.035*(MAX(E18,E19) +E28+E29+E30)</f>
        <v>87.451276866201</v>
      </c>
      <c r="F31" s="89">
        <f>SUM(C31:E31)</f>
        <v>5573.4249695062</v>
      </c>
    </row>
    <row r="32" spans="1:10">
      <c r="B32" t="s">
        <v>36</v>
      </c>
      <c r="C32" s="89">
        <f>SUM(C28:C31)</f>
        <v>29007.1188</v>
      </c>
      <c r="D32" s="89">
        <f>SUM(D28:D31)</f>
        <v>488.08039664</v>
      </c>
      <c r="E32" s="89">
        <f>SUM(E28:E31)</f>
        <v>174.9025537324</v>
      </c>
      <c r="F32" s="89">
        <f>SUM(F28:F31)</f>
        <v>29670.101750372</v>
      </c>
    </row>
    <row r="37" spans="1:10">
      <c r="B37" s="85" t="s">
        <v>116</v>
      </c>
      <c r="C37"/>
      <c r="D37"/>
      <c r="E37"/>
    </row>
    <row r="40" spans="1:10">
      <c r="B40" t="s">
        <v>110</v>
      </c>
      <c r="C40" s="89">
        <f>C13*F40</f>
        <v>66144</v>
      </c>
      <c r="D40" s="89">
        <f>D13*F40</f>
        <v>835.12</v>
      </c>
      <c r="E40" s="89">
        <f>E13*F40</f>
        <v>31200</v>
      </c>
      <c r="F40">
        <f>IF(F7&lt;1, J7*0.4,J7*0.4*F7)</f>
        <v>104</v>
      </c>
    </row>
    <row r="41" spans="1:10">
      <c r="B41"/>
    </row>
    <row r="43" spans="1:10">
      <c r="B43" t="s">
        <v>110</v>
      </c>
      <c r="C43" t="s">
        <v>102</v>
      </c>
      <c r="D43" t="s">
        <v>103</v>
      </c>
      <c r="E43" t="s">
        <v>104</v>
      </c>
      <c r="F43" t="s">
        <v>107</v>
      </c>
    </row>
    <row r="44" spans="1:10">
      <c r="B44" t="s">
        <v>111</v>
      </c>
      <c r="C44" s="89">
        <f>SUM(C15,C40,C32,(C26))</f>
        <v>194427.1188</v>
      </c>
      <c r="D44" s="89">
        <f>SUM(D15,D40,D32,(D26))</f>
        <v>2578.58039664</v>
      </c>
      <c r="E44" s="89">
        <f>SUM(E15,E40,E32,(E26))</f>
        <v>31375.220340243</v>
      </c>
      <c r="F44" s="89">
        <f>SUM(C44:E44)</f>
        <v>228380.91953688</v>
      </c>
    </row>
    <row r="45" spans="1:10">
      <c r="B45" t="s">
        <v>45</v>
      </c>
      <c r="C45">
        <v>1000</v>
      </c>
      <c r="D45">
        <v>45</v>
      </c>
      <c r="E45">
        <v>1600</v>
      </c>
      <c r="F45"/>
    </row>
    <row r="46" spans="1:10">
      <c r="B46" t="s">
        <v>112</v>
      </c>
      <c r="C46" s="89">
        <f>SUM(C44/C45)</f>
        <v>194.4271188</v>
      </c>
      <c r="D46" s="89">
        <f>SUM(D44/D45)</f>
        <v>57.301786592</v>
      </c>
      <c r="E46" s="89">
        <f>SUM(E44/E45)</f>
        <v>19.609512712652</v>
      </c>
      <c r="F46"/>
    </row>
    <row r="47" spans="1:10">
      <c r="B47" t="s">
        <v>113</v>
      </c>
      <c r="C47" s="95">
        <f>C46*3.7</f>
        <v>719.38033956</v>
      </c>
      <c r="D47" s="95">
        <f>D46*3.7</f>
        <v>212.0166103904</v>
      </c>
      <c r="E47" s="95">
        <f>E46*3.7</f>
        <v>72.555197036813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